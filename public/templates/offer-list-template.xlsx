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oaklawnmarketing-my.sharepoint.com/personal/yuya_ogasawara_oaklawn_co_jp/Documents/デスクトップ/"/>
    </mc:Choice>
  </mc:AlternateContent>
  <bookViews>
    <workbookView xWindow="-120" yWindow="-120" windowWidth="29040" windowHeight="15720" tabRatio="770" xr2:uid="{2ACB3064-4AB2-4CB9-9C27-9AFF717E78BA}"/>
  </bookViews>
  <sheets>
    <sheet name="オファーリスト" sheetId="17" r:id="rId1"/>
    <sheet name="VU_FMT" sheetId="10" r:id="rId2"/>
    <sheet name="アップグレード" sheetId="14" r:id="rId3"/>
    <sheet name="関連リンク" sheetId="3" r:id="rId4"/>
    <sheet name="変更履歴" sheetId="16" r:id="rId5"/>
  </sheets>
  <externalReferences>
    <externalReference r:id="extRef1"/>
    <externalReference r:id="extRef2"/>
    <externalReference r:id="extRef3"/>
    <externalReference r:id="extRef4"/>
    <externalReference r:id="extRef5"/>
  </externalReferenc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Kaoru Mizuno</author>
    <author>Emiko Nakadai</author>
    <author>Kazue Yamaguchi</author>
    <author>Yuki Kojima</author>
  </authors>
  <commentList>
    <comment ref="K17" authorId="0" shapeId="0" xr:uid="{6D1A58F4-9447-4BF4-91E9-3EB48A44F7D3}">
      <text>
        <r>
          <rPr>
            <b/>
            <sz val="9"/>
            <color indexed="81"/>
            <rFont val="MS P ゴシック"/>
            <family val="3"/>
            <charset val="128"/>
          </rPr>
          <t>値引き前金額
定価（販売価格）</t>
        </r>
      </text>
    </comment>
    <comment ref="A18" authorId="1" shapeId="0" xr:uid="{46E79398-B35B-4A76-AA90-5302BBA76008}">
      <text>
        <r>
          <rPr>
            <b/>
            <sz val="10"/>
            <color indexed="10"/>
            <rFont val="ＭＳ Ｐゴシック"/>
            <family val="3"/>
            <charset val="128"/>
          </rPr>
          <t>８文字</t>
        </r>
      </text>
    </comment>
    <comment ref="B18" authorId="1" shapeId="0" xr:uid="{C0DE1A24-EFF7-463A-A726-C5BBB488DD75}">
      <text>
        <r>
          <rPr>
            <b/>
            <sz val="10"/>
            <color indexed="10"/>
            <rFont val="ＭＳ Ｐゴシック"/>
            <family val="3"/>
            <charset val="128"/>
          </rPr>
          <t>４０文字まで
全角は２文字
半角は１文字</t>
        </r>
      </text>
    </comment>
    <comment ref="AB18" authorId="2" shapeId="0" xr:uid="{4CBD2199-F4CF-4990-8F75-DB224FAEF7E6}">
      <text>
        <r>
          <rPr>
            <b/>
            <sz val="9"/>
            <color indexed="81"/>
            <rFont val="MS P ゴシック"/>
            <family val="3"/>
            <charset val="128"/>
          </rPr>
          <t>Kazue Yamaguchi:翌日配送専用のコードの時にはチェックを入れる（WEBのみ）</t>
        </r>
      </text>
    </comment>
    <comment ref="AT18" authorId="3" shapeId="0" xr:uid="{850AE00B-9B36-445C-9BB7-16DA8CDE45C4}">
      <text>
        <r>
          <rPr>
            <b/>
            <sz val="9"/>
            <color indexed="81"/>
            <rFont val="MS P ゴシック"/>
            <family val="3"/>
            <charset val="128"/>
          </rPr>
          <t xml:space="preserve">9,000円以下(送料込み・税込み)は不要
</t>
        </r>
      </text>
    </comment>
    <comment ref="K76" authorId="0" shapeId="0" xr:uid="{CF4F8F6E-6114-4F9D-AED6-4B46D0884AB6}">
      <text>
        <r>
          <rPr>
            <b/>
            <sz val="9"/>
            <color indexed="81"/>
            <rFont val="MS P ゴシック"/>
            <family val="3"/>
            <charset val="128"/>
          </rPr>
          <t>値引き前金額
定価（販売価格）</t>
        </r>
      </text>
    </comment>
    <comment ref="A77" authorId="1" shapeId="0" xr:uid="{DE206C1B-D681-472C-BEF6-541CB450E552}">
      <text>
        <r>
          <rPr>
            <b/>
            <sz val="10"/>
            <color indexed="10"/>
            <rFont val="ＭＳ Ｐゴシック"/>
            <family val="3"/>
            <charset val="128"/>
          </rPr>
          <t>８文字まで</t>
        </r>
      </text>
    </comment>
    <comment ref="B77" authorId="1" shapeId="0" xr:uid="{57C1241D-BE47-4EF3-8E07-13916B1CC820}">
      <text>
        <r>
          <rPr>
            <b/>
            <sz val="10"/>
            <color indexed="10"/>
            <rFont val="ＭＳ Ｐゴシック"/>
            <family val="3"/>
            <charset val="128"/>
          </rPr>
          <t>４０文字まで
全角は２文字
半角は１文字</t>
        </r>
      </text>
    </comment>
    <comment ref="AB77" authorId="2" shapeId="0" xr:uid="{29890AA3-362F-4A20-956B-080C3C25381B}">
      <text>
        <r>
          <rPr>
            <b/>
            <sz val="9"/>
            <color indexed="81"/>
            <rFont val="MS P ゴシック"/>
            <family val="3"/>
            <charset val="128"/>
          </rPr>
          <t>Kazue Yamaguchi:翌日配送専用のコードの時にはチェックを入れる（WEBのみ）</t>
        </r>
      </text>
    </comment>
    <comment ref="AT77" authorId="2" shapeId="0" xr:uid="{2F8A80B1-5528-4DB3-975A-B10F2373C3E3}">
      <text>
        <r>
          <rPr>
            <b/>
            <sz val="9"/>
            <color indexed="81"/>
            <rFont val="MS P ゴシック"/>
            <family val="3"/>
            <charset val="128"/>
          </rPr>
          <t>Kazue Yamaguchi:</t>
        </r>
        <r>
          <rPr>
            <sz val="9"/>
            <color indexed="81"/>
            <rFont val="MS P ゴシック"/>
            <family val="3"/>
            <charset val="128"/>
          </rPr>
          <t xml:space="preserve">
超分割のみor不可の時のみ選択する</t>
        </r>
      </text>
    </comment>
    <comment ref="K171" authorId="0" shapeId="0" xr:uid="{9B498911-9159-45B5-AF08-195958BBBEDA}">
      <text>
        <r>
          <rPr>
            <b/>
            <sz val="9"/>
            <color indexed="81"/>
            <rFont val="MS P ゴシック"/>
            <family val="3"/>
            <charset val="128"/>
          </rPr>
          <t>値引き前金額
定価（販売価格）</t>
        </r>
      </text>
    </comment>
    <comment ref="A172" authorId="1" shapeId="0" xr:uid="{D1492317-AD45-4226-96EF-3C37284DB477}">
      <text>
        <r>
          <rPr>
            <b/>
            <sz val="10"/>
            <color indexed="10"/>
            <rFont val="ＭＳ Ｐゴシック"/>
            <family val="3"/>
            <charset val="128"/>
          </rPr>
          <t>８文字まで</t>
        </r>
      </text>
    </comment>
    <comment ref="B172" authorId="1" shapeId="0" xr:uid="{626E610A-0002-4DD4-8CBB-0D90245179E1}">
      <text>
        <r>
          <rPr>
            <b/>
            <sz val="10"/>
            <color indexed="10"/>
            <rFont val="ＭＳ Ｐゴシック"/>
            <family val="3"/>
            <charset val="128"/>
          </rPr>
          <t>４０文字まで
全角は２文字
半角は１文字</t>
        </r>
      </text>
    </comment>
    <comment ref="AB172" authorId="2" shapeId="0" xr:uid="{7C41B33C-9D05-481A-A8A6-33693114F40A}">
      <text>
        <r>
          <rPr>
            <b/>
            <sz val="9"/>
            <color indexed="81"/>
            <rFont val="MS P ゴシック"/>
            <family val="3"/>
            <charset val="128"/>
          </rPr>
          <t>Kazue Yamaguchi:翌日配送専用のコードの時にはチェックを入れる（WEBのみ）</t>
        </r>
      </text>
    </comment>
    <comment ref="AT172" authorId="2" shapeId="0" xr:uid="{10BDC033-FECC-4E26-A0ED-3BEAF55D5AF6}">
      <text>
        <r>
          <rPr>
            <b/>
            <sz val="9"/>
            <color indexed="81"/>
            <rFont val="MS P ゴシック"/>
            <family val="3"/>
            <charset val="128"/>
          </rPr>
          <t>Kazue Yamaguchi:</t>
        </r>
        <r>
          <rPr>
            <sz val="9"/>
            <color indexed="81"/>
            <rFont val="MS P ゴシック"/>
            <family val="3"/>
            <charset val="128"/>
          </rPr>
          <t xml:space="preserve">
超分割のみor不可の時のみ選択する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tc={7FD4F7EF-F0C1-489E-A90F-2CDF8F8C5840}</author>
    <author>tc={D95B1BDA-AC1D-488B-8807-672A64A6DC4C}</author>
    <author>tc={1D1E2780-9432-4E51-AEB7-ABA534330BA5}</author>
  </authors>
  <commentList>
    <comment ref="B1" authorId="0" shapeId="0" xr:uid="{7FD4F7EF-F0C1-489E-A90F-2CDF8F8C584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ベース商品コード施策名と同じにしてください</t>
      </text>
    </comment>
    <comment ref="B14" authorId="1" shapeId="0" xr:uid="{D95B1BDA-AC1D-488B-8807-672A64A6DC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半角英数字必須</t>
      </text>
    </comment>
    <comment ref="E14" authorId="2" shapeId="0" xr:uid="{1D1E2780-9432-4E51-AEB7-ABA534330B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半角英数字必須</t>
      </text>
    </comment>
  </commentList>
</comment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MSBISRV CentralDWH EX0054_在庫表"/>
    <s v="{[SKU商品].[在庫管理区分].[All]}"/>
    <s v="{[出荷倉庫].[論理倉庫名].[All]}"/>
    <s v="{[日付].[日付].[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<sst xmlns="http://schemas.openxmlformats.org/spreadsheetml/2006/main" count="417" uniqueCount="141">
  <si>
    <t>自動反映</t>
    <rPh sb="0" eb="4">
      <t>ジドウハンエイ</t>
    </rPh>
    <phoneticPr fontId="3"/>
  </si>
  <si>
    <t>★入力</t>
    <rPh sb="1" eb="3">
      <t>ニュウリョク</t>
    </rPh>
    <phoneticPr fontId="3"/>
  </si>
  <si>
    <t>プルダウン</t>
    <phoneticPr fontId="3"/>
  </si>
  <si>
    <t>プルダウン</t>
  </si>
  <si>
    <t>単品価格</t>
    <rPh sb="0" eb="2">
      <t>タンピン</t>
    </rPh>
    <rPh sb="2" eb="4">
      <t>カカク</t>
    </rPh>
    <phoneticPr fontId="8"/>
  </si>
  <si>
    <t>単品合計価格</t>
    <rPh sb="0" eb="2">
      <t>タンピン</t>
    </rPh>
    <rPh sb="2" eb="4">
      <t>ゴウケイ</t>
    </rPh>
    <rPh sb="4" eb="6">
      <t>カカク</t>
    </rPh>
    <phoneticPr fontId="8"/>
  </si>
  <si>
    <t>送料</t>
    <rPh sb="0" eb="2">
      <t>ソウリョウ</t>
    </rPh>
    <phoneticPr fontId="3"/>
  </si>
  <si>
    <t>返品関連</t>
    <rPh sb="0" eb="4">
      <t>ヘンピンカンレン</t>
    </rPh>
    <phoneticPr fontId="3"/>
  </si>
  <si>
    <t>その他</t>
    <rPh sb="2" eb="3">
      <t>タ</t>
    </rPh>
    <phoneticPr fontId="3"/>
  </si>
  <si>
    <t>定期商品</t>
    <rPh sb="0" eb="2">
      <t>テイキ</t>
    </rPh>
    <rPh sb="2" eb="4">
      <t>ショウヒン</t>
    </rPh>
    <phoneticPr fontId="3"/>
  </si>
  <si>
    <t>キャッシュバック</t>
    <phoneticPr fontId="3"/>
  </si>
  <si>
    <t>ｺｰﾄﾞ数</t>
    <rPh sb="4" eb="5">
      <t>スウ</t>
    </rPh>
    <phoneticPr fontId="3"/>
  </si>
  <si>
    <t>文字数</t>
    <rPh sb="0" eb="3">
      <t>モジスウ</t>
    </rPh>
    <phoneticPr fontId="3"/>
  </si>
  <si>
    <t>商品グループ</t>
    <rPh sb="0" eb="2">
      <t>ショウヒン</t>
    </rPh>
    <phoneticPr fontId="3"/>
  </si>
  <si>
    <t>SKU</t>
    <phoneticPr fontId="3"/>
  </si>
  <si>
    <t>数量</t>
    <rPh sb="0" eb="2">
      <t>スウリョウ</t>
    </rPh>
    <phoneticPr fontId="3"/>
  </si>
  <si>
    <t>税抜</t>
    <rPh sb="0" eb="2">
      <t>ゼイヌ</t>
    </rPh>
    <phoneticPr fontId="8"/>
  </si>
  <si>
    <t>税込</t>
    <rPh sb="0" eb="2">
      <t>ゼイコミ</t>
    </rPh>
    <phoneticPr fontId="8"/>
  </si>
  <si>
    <t>割引率</t>
    <rPh sb="0" eb="2">
      <t>ワリビキ</t>
    </rPh>
    <rPh sb="2" eb="3">
      <t>リツ</t>
    </rPh>
    <phoneticPr fontId="8"/>
  </si>
  <si>
    <t>割引額
（税抜）</t>
    <rPh sb="0" eb="3">
      <t>ワリビキガク</t>
    </rPh>
    <rPh sb="5" eb="7">
      <t>ゼイヌキ</t>
    </rPh>
    <phoneticPr fontId="3"/>
  </si>
  <si>
    <t>割引額
(税込）</t>
    <rPh sb="0" eb="2">
      <t>ワリビキ</t>
    </rPh>
    <rPh sb="2" eb="3">
      <t>ガク</t>
    </rPh>
    <rPh sb="5" eb="7">
      <t>ゼイコミ</t>
    </rPh>
    <phoneticPr fontId="8"/>
  </si>
  <si>
    <t>返品不可区分</t>
    <rPh sb="0" eb="2">
      <t>ヘンピン</t>
    </rPh>
    <rPh sb="2" eb="4">
      <t>フカ</t>
    </rPh>
    <rPh sb="4" eb="6">
      <t>クブン</t>
    </rPh>
    <phoneticPr fontId="3"/>
  </si>
  <si>
    <t>返品期間</t>
    <rPh sb="0" eb="2">
      <t>ヘンピン</t>
    </rPh>
    <rPh sb="2" eb="4">
      <t>キカン</t>
    </rPh>
    <phoneticPr fontId="3"/>
  </si>
  <si>
    <t>消費税区分</t>
    <rPh sb="0" eb="3">
      <t>ショウヒゼイ</t>
    </rPh>
    <rPh sb="3" eb="5">
      <t>クブン</t>
    </rPh>
    <phoneticPr fontId="3"/>
  </si>
  <si>
    <t>翌日配送
フラグ</t>
    <rPh sb="0" eb="2">
      <t>ヨクジツ</t>
    </rPh>
    <rPh sb="2" eb="4">
      <t>ハイソウ</t>
    </rPh>
    <phoneticPr fontId="3"/>
  </si>
  <si>
    <t>有/無</t>
    <rPh sb="0" eb="1">
      <t>アリ</t>
    </rPh>
    <rPh sb="2" eb="3">
      <t>ナ</t>
    </rPh>
    <phoneticPr fontId="3"/>
  </si>
  <si>
    <t>定期商品種別</t>
    <phoneticPr fontId="3"/>
  </si>
  <si>
    <t>定期T2注文品番</t>
    <phoneticPr fontId="3"/>
  </si>
  <si>
    <t>デフォルトお届け間隔</t>
    <phoneticPr fontId="3"/>
  </si>
  <si>
    <t>デフォルトお届け間隔数</t>
    <phoneticPr fontId="3"/>
  </si>
  <si>
    <t>初期の間隔</t>
    <phoneticPr fontId="3"/>
  </si>
  <si>
    <t>継続商品の注文品番</t>
    <phoneticPr fontId="3"/>
  </si>
  <si>
    <t>キャッシュバック対象フラグ</t>
    <phoneticPr fontId="3"/>
  </si>
  <si>
    <t>キャッシュバック 受付期間</t>
    <phoneticPr fontId="3"/>
  </si>
  <si>
    <t>キャッシュバック 金額</t>
    <phoneticPr fontId="3"/>
  </si>
  <si>
    <t>キャッシュバック 単位</t>
    <phoneticPr fontId="3"/>
  </si>
  <si>
    <t>キャッシュバック 条件</t>
    <phoneticPr fontId="3"/>
  </si>
  <si>
    <t>\\svdw03jpawscv\Data\SKU\SKU情報追加入力.xlsx</t>
    <phoneticPr fontId="3"/>
  </si>
  <si>
    <t>■SKUごとの単品価格</t>
    <rPh sb="7" eb="11">
      <t>タンピンカカク</t>
    </rPh>
    <phoneticPr fontId="3"/>
  </si>
  <si>
    <t>■承認者フロー</t>
    <rPh sb="1" eb="4">
      <t>ショウニンシャ</t>
    </rPh>
    <phoneticPr fontId="3"/>
  </si>
  <si>
    <t>ベース商品
商品コード</t>
    <rPh sb="3" eb="5">
      <t>ショウヒン</t>
    </rPh>
    <rPh sb="6" eb="8">
      <t>ショウヒン</t>
    </rPh>
    <phoneticPr fontId="8"/>
  </si>
  <si>
    <t>ベース商品
商品名</t>
    <rPh sb="3" eb="5">
      <t>ショウヒン</t>
    </rPh>
    <rPh sb="6" eb="9">
      <t>ショウヒンメイ</t>
    </rPh>
    <phoneticPr fontId="8"/>
  </si>
  <si>
    <t>購入前</t>
    <rPh sb="0" eb="2">
      <t>コウニュウ</t>
    </rPh>
    <rPh sb="2" eb="3">
      <t>マエ</t>
    </rPh>
    <phoneticPr fontId="19"/>
  </si>
  <si>
    <t>購入後</t>
    <rPh sb="0" eb="3">
      <t>コウニュウゴ</t>
    </rPh>
    <phoneticPr fontId="8"/>
  </si>
  <si>
    <t>通常価格
(税込)</t>
    <rPh sb="0" eb="2">
      <t>ツウジョウ</t>
    </rPh>
    <rPh sb="2" eb="4">
      <t>カカク</t>
    </rPh>
    <rPh sb="6" eb="8">
      <t>ゼイコ</t>
    </rPh>
    <phoneticPr fontId="8"/>
  </si>
  <si>
    <t>割引後価格
（税込）</t>
    <rPh sb="0" eb="2">
      <t>ワリビキ</t>
    </rPh>
    <rPh sb="2" eb="3">
      <t>ゴ</t>
    </rPh>
    <rPh sb="3" eb="5">
      <t>カカク</t>
    </rPh>
    <rPh sb="7" eb="9">
      <t>ゼイコ</t>
    </rPh>
    <phoneticPr fontId="8"/>
  </si>
  <si>
    <t>割引率（額）</t>
    <rPh sb="0" eb="2">
      <t>ワリビキ</t>
    </rPh>
    <rPh sb="2" eb="3">
      <t>リツ</t>
    </rPh>
    <rPh sb="4" eb="5">
      <t>ガク</t>
    </rPh>
    <phoneticPr fontId="8"/>
  </si>
  <si>
    <t>販売価格</t>
    <rPh sb="0" eb="2">
      <t>ハンバイ</t>
    </rPh>
    <phoneticPr fontId="3"/>
  </si>
  <si>
    <r>
      <t xml:space="preserve">商品コード
</t>
    </r>
    <r>
      <rPr>
        <sz val="9"/>
        <color theme="0" tint="-4.9989318521683403E-2"/>
        <rFont val="Meiryo UI"/>
        <family val="3"/>
        <charset val="128"/>
      </rPr>
      <t>※8文字まで</t>
    </r>
    <rPh sb="0" eb="2">
      <t>ショウヒン</t>
    </rPh>
    <rPh sb="8" eb="10">
      <t>モジ</t>
    </rPh>
    <phoneticPr fontId="3"/>
  </si>
  <si>
    <r>
      <t xml:space="preserve">商品名（カタカナは半角のみ可）
</t>
    </r>
    <r>
      <rPr>
        <sz val="9"/>
        <color theme="0" tint="-4.9989318521683403E-2"/>
        <rFont val="Meiryo UI"/>
        <family val="3"/>
        <charset val="128"/>
      </rPr>
      <t>※40文字まで（全角は2文字、半角は1文字）</t>
    </r>
    <rPh sb="0" eb="3">
      <t>ショウヒンメイ</t>
    </rPh>
    <rPh sb="9" eb="11">
      <t>ハンカク</t>
    </rPh>
    <rPh sb="13" eb="14">
      <t>カ</t>
    </rPh>
    <rPh sb="19" eb="21">
      <t>モジ</t>
    </rPh>
    <rPh sb="24" eb="26">
      <t>ゼンカク</t>
    </rPh>
    <rPh sb="28" eb="30">
      <t>モジ</t>
    </rPh>
    <rPh sb="31" eb="33">
      <t>ハンカク</t>
    </rPh>
    <rPh sb="35" eb="37">
      <t>モジ</t>
    </rPh>
    <phoneticPr fontId="3"/>
  </si>
  <si>
    <t>税込</t>
    <rPh sb="0" eb="2">
      <t>ゼイコミ</t>
    </rPh>
    <phoneticPr fontId="3"/>
  </si>
  <si>
    <t>SJOSP記載欄</t>
    <rPh sb="5" eb="8">
      <t>キサイラン</t>
    </rPh>
    <phoneticPr fontId="3"/>
  </si>
  <si>
    <t>起案者</t>
    <rPh sb="0" eb="3">
      <t>キアンシャ</t>
    </rPh>
    <phoneticPr fontId="3"/>
  </si>
  <si>
    <t>チャネル名</t>
    <rPh sb="4" eb="5">
      <t>メイ</t>
    </rPh>
    <phoneticPr fontId="3"/>
  </si>
  <si>
    <t>SECRET：C</t>
  </si>
  <si>
    <t>SJOSP</t>
    <phoneticPr fontId="3"/>
  </si>
  <si>
    <t>新規取得</t>
    <rPh sb="0" eb="4">
      <t>シンキシュトク</t>
    </rPh>
    <phoneticPr fontId="3"/>
  </si>
  <si>
    <t>作成者</t>
    <rPh sb="0" eb="2">
      <t>サクセイ</t>
    </rPh>
    <rPh sb="2" eb="3">
      <t>シャ</t>
    </rPh>
    <phoneticPr fontId="3"/>
  </si>
  <si>
    <t>起案者と同一</t>
    <rPh sb="0" eb="3">
      <t>キアンシャ</t>
    </rPh>
    <rPh sb="4" eb="6">
      <t>ドウイツ</t>
    </rPh>
    <phoneticPr fontId="3"/>
  </si>
  <si>
    <t>構成変更</t>
    <rPh sb="0" eb="4">
      <t>コウセイヘンコウ</t>
    </rPh>
    <phoneticPr fontId="3"/>
  </si>
  <si>
    <t>作成日</t>
    <rPh sb="0" eb="2">
      <t>サクセイ</t>
    </rPh>
    <rPh sb="2" eb="3">
      <t>ビ</t>
    </rPh>
    <phoneticPr fontId="3"/>
  </si>
  <si>
    <t>既存流用</t>
    <rPh sb="0" eb="2">
      <t>キゾン</t>
    </rPh>
    <rPh sb="2" eb="4">
      <t>リュウヨウ</t>
    </rPh>
    <phoneticPr fontId="3"/>
  </si>
  <si>
    <t>廃棄日</t>
    <rPh sb="0" eb="2">
      <t>ハイキ</t>
    </rPh>
    <rPh sb="2" eb="3">
      <t>ビ</t>
    </rPh>
    <phoneticPr fontId="3"/>
  </si>
  <si>
    <t>作成日より一年</t>
    <rPh sb="0" eb="2">
      <t>サクセイ</t>
    </rPh>
    <rPh sb="2" eb="3">
      <t>ビ</t>
    </rPh>
    <rPh sb="5" eb="7">
      <t>イチネン</t>
    </rPh>
    <phoneticPr fontId="3"/>
  </si>
  <si>
    <t>起案者Section名</t>
    <rPh sb="0" eb="3">
      <t>キアンシャ</t>
    </rPh>
    <rPh sb="10" eb="11">
      <t>メイ</t>
    </rPh>
    <phoneticPr fontId="3"/>
  </si>
  <si>
    <t>オファー表現　メディア限定の有無</t>
    <rPh sb="4" eb="6">
      <t>ヒョウゲン</t>
    </rPh>
    <rPh sb="11" eb="13">
      <t>ゲンテイ</t>
    </rPh>
    <rPh sb="14" eb="16">
      <t>ウム</t>
    </rPh>
    <phoneticPr fontId="3"/>
  </si>
  <si>
    <t>起案者名</t>
    <rPh sb="0" eb="3">
      <t>キアンシャ</t>
    </rPh>
    <rPh sb="3" eb="4">
      <t>メイ</t>
    </rPh>
    <phoneticPr fontId="3"/>
  </si>
  <si>
    <t>限定セット</t>
    <phoneticPr fontId="3"/>
  </si>
  <si>
    <t>要</t>
    <rPh sb="0" eb="1">
      <t>ヨウ</t>
    </rPh>
    <phoneticPr fontId="3"/>
  </si>
  <si>
    <t>限定価格</t>
    <phoneticPr fontId="3"/>
  </si>
  <si>
    <t>コード取得完了予定日</t>
    <rPh sb="3" eb="5">
      <t>シュトク</t>
    </rPh>
    <rPh sb="5" eb="7">
      <t>カンリョウ</t>
    </rPh>
    <rPh sb="7" eb="9">
      <t>ヨテイ</t>
    </rPh>
    <rPh sb="9" eb="10">
      <t>ビ</t>
    </rPh>
    <phoneticPr fontId="3"/>
  </si>
  <si>
    <t>コード精査担当者</t>
    <rPh sb="3" eb="5">
      <t>セイサ</t>
    </rPh>
    <rPh sb="5" eb="8">
      <t>タントウシャ</t>
    </rPh>
    <phoneticPr fontId="3"/>
  </si>
  <si>
    <t>※すべて税込み価格で記載</t>
  </si>
  <si>
    <t>オファー詳細</t>
    <rPh sb="4" eb="6">
      <t>ショウサイ</t>
    </rPh>
    <phoneticPr fontId="3"/>
  </si>
  <si>
    <t>【メイン販売オファー：主商品（1枚セットなど）】</t>
    <rPh sb="4" eb="6">
      <t>ハンバイ</t>
    </rPh>
    <rPh sb="11" eb="12">
      <t>シュ</t>
    </rPh>
    <rPh sb="12" eb="14">
      <t>ショウヒン</t>
    </rPh>
    <rPh sb="16" eb="17">
      <t>マイ</t>
    </rPh>
    <phoneticPr fontId="3"/>
  </si>
  <si>
    <t>【メイン販売オファー：主商品（2枚セットなど）】</t>
    <rPh sb="4" eb="6">
      <t>ハンバイ</t>
    </rPh>
    <rPh sb="11" eb="12">
      <t>シュ</t>
    </rPh>
    <rPh sb="12" eb="14">
      <t>ショウヒン</t>
    </rPh>
    <rPh sb="16" eb="17">
      <t>マイ</t>
    </rPh>
    <phoneticPr fontId="3"/>
  </si>
  <si>
    <t>超分割(mogのみ設定の項目)</t>
    <rPh sb="0" eb="3">
      <t>チョウブンカツ</t>
    </rPh>
    <rPh sb="9" eb="11">
      <t>セッテイ</t>
    </rPh>
    <rPh sb="12" eb="14">
      <t>コウモク</t>
    </rPh>
    <phoneticPr fontId="3"/>
  </si>
  <si>
    <t>SKU名</t>
    <rPh sb="3" eb="4">
      <t>メイ</t>
    </rPh>
    <phoneticPr fontId="3"/>
  </si>
  <si>
    <t>商品コードのセルの色</t>
    <rPh sb="0" eb="2">
      <t>ショウヒン</t>
    </rPh>
    <rPh sb="9" eb="10">
      <t>イロ</t>
    </rPh>
    <phoneticPr fontId="3"/>
  </si>
  <si>
    <t>※FY22法務オファー新ルールにより、メディア限定表現をしているかどうか</t>
    <phoneticPr fontId="3"/>
  </si>
  <si>
    <r>
      <t>継続商品の販売価格</t>
    </r>
    <r>
      <rPr>
        <b/>
        <u/>
        <sz val="9"/>
        <color theme="0" tint="-4.9989318521683403E-2"/>
        <rFont val="Meiryo UI"/>
        <family val="3"/>
        <charset val="128"/>
      </rPr>
      <t>（税抜）</t>
    </r>
    <phoneticPr fontId="3"/>
  </si>
  <si>
    <t>施策名：【商品G】●●キャンペーン</t>
    <rPh sb="0" eb="3">
      <t>シサクメイ</t>
    </rPh>
    <rPh sb="5" eb="7">
      <t>ショウヒン</t>
    </rPh>
    <phoneticPr fontId="3"/>
  </si>
  <si>
    <t>デザインチームが、TCIに依頼する原稿</t>
    <rPh sb="13" eb="15">
      <t>イライ</t>
    </rPh>
    <rPh sb="17" eb="19">
      <t>ゲンコウ</t>
    </rPh>
    <phoneticPr fontId="3"/>
  </si>
  <si>
    <t>バリューアップ種類選択</t>
    <rPh sb="7" eb="9">
      <t>シュルイ</t>
    </rPh>
    <rPh sb="9" eb="11">
      <t>センタク</t>
    </rPh>
    <phoneticPr fontId="3"/>
  </si>
  <si>
    <t>バリューアップセル
商品名</t>
    <phoneticPr fontId="8"/>
  </si>
  <si>
    <t>バリューアップセル
商品コード</t>
    <phoneticPr fontId="8"/>
  </si>
  <si>
    <t>スコア</t>
    <phoneticPr fontId="8"/>
  </si>
  <si>
    <t>サイトスクリプト</t>
    <phoneticPr fontId="8"/>
  </si>
  <si>
    <t>WEB：施策名</t>
    <rPh sb="4" eb="6">
      <t>シサク</t>
    </rPh>
    <rPh sb="6" eb="7">
      <t>メイ</t>
    </rPh>
    <phoneticPr fontId="3"/>
  </si>
  <si>
    <t>\\filesrv\Projects\1402_0005_SJ共有\Channel Promotion【C】\06_Merchandising meeting\コンカー承認者一覧\20230313_Concur承認者一覧.xlsx</t>
    <phoneticPr fontId="3"/>
  </si>
  <si>
    <t>【クレジット分割払】</t>
    <phoneticPr fontId="3"/>
  </si>
  <si>
    <t>【ゆうパケ フラグ】</t>
    <phoneticPr fontId="3"/>
  </si>
  <si>
    <t>【AT/OM補正】</t>
    <rPh sb="6" eb="8">
      <t>ホセイ</t>
    </rPh>
    <phoneticPr fontId="3"/>
  </si>
  <si>
    <t>ショッピング
クレジット
(WEBのみ)</t>
    <phoneticPr fontId="3"/>
  </si>
  <si>
    <t>支払回数
(WEBのみ)</t>
    <rPh sb="0" eb="2">
      <t>シハラ</t>
    </rPh>
    <rPh sb="2" eb="4">
      <t>カイスウ</t>
    </rPh>
    <phoneticPr fontId="3"/>
  </si>
  <si>
    <t>初月
(WEBのみ)</t>
    <rPh sb="0" eb="2">
      <t>ショゲツ</t>
    </rPh>
    <phoneticPr fontId="3"/>
  </si>
  <si>
    <t>次月以降
(WEBのみ)</t>
    <rPh sb="0" eb="4">
      <t>ジゲツイコウ</t>
    </rPh>
    <phoneticPr fontId="3"/>
  </si>
  <si>
    <t>toTCI</t>
    <phoneticPr fontId="3"/>
  </si>
  <si>
    <t>アプグレードあり/なし</t>
    <phoneticPr fontId="3"/>
  </si>
  <si>
    <t>プリント：素材コード</t>
    <rPh sb="5" eb="7">
      <t>ソザイ</t>
    </rPh>
    <phoneticPr fontId="3"/>
  </si>
  <si>
    <t>TV：素材コード</t>
    <rPh sb="3" eb="5">
      <t>ソザイ</t>
    </rPh>
    <phoneticPr fontId="3"/>
  </si>
  <si>
    <t>ベース商品コード</t>
    <rPh sb="3" eb="5">
      <t>ショウヒン</t>
    </rPh>
    <phoneticPr fontId="3"/>
  </si>
  <si>
    <t>UPG商品コード</t>
    <rPh sb="3" eb="5">
      <t>ショウヒン</t>
    </rPh>
    <phoneticPr fontId="3"/>
  </si>
  <si>
    <t>商品コード</t>
    <rPh sb="0" eb="2">
      <t>ショウヒン</t>
    </rPh>
    <phoneticPr fontId="3"/>
  </si>
  <si>
    <t>商品コード名</t>
    <rPh sb="0" eb="2">
      <t>ショウヒン</t>
    </rPh>
    <rPh sb="5" eb="6">
      <t>メイ</t>
    </rPh>
    <phoneticPr fontId="3"/>
  </si>
  <si>
    <t>UPG情報まとめ　</t>
    <rPh sb="3" eb="5">
      <t>ジョウホウ</t>
    </rPh>
    <phoneticPr fontId="3"/>
  </si>
  <si>
    <t>依頼から、基本3週間目目取得完了</t>
    <rPh sb="0" eb="2">
      <t>イライ</t>
    </rPh>
    <rPh sb="5" eb="7">
      <t>キホン</t>
    </rPh>
    <rPh sb="8" eb="11">
      <t>シュウカンメ</t>
    </rPh>
    <rPh sb="11" eb="12">
      <t>メ</t>
    </rPh>
    <rPh sb="12" eb="14">
      <t>シュトク</t>
    </rPh>
    <rPh sb="14" eb="16">
      <t>カンリョウ</t>
    </rPh>
    <phoneticPr fontId="3"/>
  </si>
  <si>
    <t xml:space="preserve">    ←D５セルより計算式で引っ張ってます</t>
    <rPh sb="11" eb="14">
      <t>ケイサンシキ</t>
    </rPh>
    <rPh sb="15" eb="16">
      <t>ヒ</t>
    </rPh>
    <rPh sb="17" eb="18">
      <t>パ</t>
    </rPh>
    <phoneticPr fontId="3"/>
  </si>
  <si>
    <t>VU価格</t>
    <rPh sb="2" eb="4">
      <t>カカク</t>
    </rPh>
    <phoneticPr fontId="3"/>
  </si>
  <si>
    <t>放映・出稿・アップ
開始予定日</t>
    <rPh sb="0" eb="2">
      <t>ホウエイ</t>
    </rPh>
    <rPh sb="3" eb="5">
      <t>シュッコウ</t>
    </rPh>
    <rPh sb="10" eb="12">
      <t>カイシ</t>
    </rPh>
    <rPh sb="12" eb="15">
      <t>ヨテイビ</t>
    </rPh>
    <phoneticPr fontId="3"/>
  </si>
  <si>
    <t>「記入例」タブ削除</t>
    <phoneticPr fontId="3"/>
  </si>
  <si>
    <t>「単品価格・サイズ・カラバリ情報」タブ削除</t>
    <phoneticPr fontId="3"/>
  </si>
  <si>
    <t>皆様慣れてきたと思うので、フォーマットからは削除します</t>
    <rPh sb="0" eb="2">
      <t>ミナサマ</t>
    </rPh>
    <rPh sb="2" eb="3">
      <t>ナ</t>
    </rPh>
    <rPh sb="8" eb="9">
      <t>オモ</t>
    </rPh>
    <rPh sb="22" eb="24">
      <t>サクジョ</t>
    </rPh>
    <phoneticPr fontId="3"/>
  </si>
  <si>
    <t>内容</t>
    <rPh sb="0" eb="2">
      <t>ナイヨウ</t>
    </rPh>
    <phoneticPr fontId="3"/>
  </si>
  <si>
    <t>NO</t>
    <phoneticPr fontId="3"/>
  </si>
  <si>
    <t>取得コード情報はすべて「オファーリスト」タブに記載ください</t>
    <rPh sb="0" eb="2">
      <t>シュトク</t>
    </rPh>
    <rPh sb="5" eb="7">
      <t>ジョウホウ</t>
    </rPh>
    <rPh sb="23" eb="25">
      <t>キサイ</t>
    </rPh>
    <phoneticPr fontId="3"/>
  </si>
  <si>
    <t>備考</t>
    <rPh sb="0" eb="2">
      <t>ビコウ</t>
    </rPh>
    <phoneticPr fontId="3"/>
  </si>
  <si>
    <t>【単品（VU・アップセル・CTA商品など）】</t>
    <rPh sb="1" eb="3">
      <t>タンピン</t>
    </rPh>
    <rPh sb="16" eb="18">
      <t>ショウヒン</t>
    </rPh>
    <phoneticPr fontId="3"/>
  </si>
  <si>
    <t>割引内容
単品合計価格⇒販売価格</t>
    <rPh sb="0" eb="2">
      <t>ワリビキ</t>
    </rPh>
    <rPh sb="2" eb="4">
      <t>ナイヨウ</t>
    </rPh>
    <rPh sb="5" eb="9">
      <t>タンピンゴウケイ</t>
    </rPh>
    <rPh sb="9" eb="11">
      <t>カカク</t>
    </rPh>
    <rPh sb="12" eb="16">
      <t>ハンバイカカク</t>
    </rPh>
    <phoneticPr fontId="3"/>
  </si>
  <si>
    <t>割引内容
販売価格⇒VU価格</t>
    <rPh sb="0" eb="2">
      <t>ワリビキ</t>
    </rPh>
    <rPh sb="2" eb="4">
      <t>ナイヨウ</t>
    </rPh>
    <rPh sb="5" eb="9">
      <t>ハンバイカカク</t>
    </rPh>
    <rPh sb="12" eb="14">
      <t>カカク</t>
    </rPh>
    <phoneticPr fontId="3"/>
  </si>
  <si>
    <t>キャッシュバック情報登録</t>
    <rPh sb="8" eb="10">
      <t>ジョウホウ</t>
    </rPh>
    <rPh sb="10" eb="12">
      <t>トウロク</t>
    </rPh>
    <phoneticPr fontId="3"/>
  </si>
  <si>
    <t>MOG</t>
    <phoneticPr fontId="3"/>
  </si>
  <si>
    <t>「関連商品（バリューアップ）」タブ削除</t>
    <rPh sb="17" eb="19">
      <t>サクジョ</t>
    </rPh>
    <phoneticPr fontId="3"/>
  </si>
  <si>
    <t>＜対応パターン＞</t>
    <phoneticPr fontId="3"/>
  </si>
  <si>
    <t>・新規取得</t>
    <phoneticPr fontId="3"/>
  </si>
  <si>
    <t>・B行追加</t>
    <phoneticPr fontId="3"/>
  </si>
  <si>
    <t>・E行追加</t>
    <phoneticPr fontId="3"/>
  </si>
  <si>
    <t>・割引率変更　</t>
    <phoneticPr fontId="3"/>
  </si>
  <si>
    <t>※変更の場合は、変更点が分かるようにセルを黄色にし、変更内容をメモしてください。</t>
    <phoneticPr fontId="3"/>
  </si>
  <si>
    <t>＜KUROSHIO MD用のスコアルール＞</t>
    <phoneticPr fontId="3"/>
  </si>
  <si>
    <t>・スマホのVUは最大8個までしか表示されない。</t>
    <phoneticPr fontId="3"/>
  </si>
  <si>
    <t>・PCの場合は2ページ、3ページと8個以上の表示可能。</t>
    <phoneticPr fontId="3"/>
  </si>
  <si>
    <t>＜VU表示＞</t>
    <rPh sb="3" eb="5">
      <t>ヒョウジ</t>
    </rPh>
    <phoneticPr fontId="3"/>
  </si>
  <si>
    <t>・スコア・・・オファーしたい順に１から数を増やす</t>
    <phoneticPr fontId="3"/>
  </si>
  <si>
    <t>※SP用：順番＆スクリプト変更は、デザイナーが行う＝SJOSPには依頼が来ない。</t>
    <rPh sb="3" eb="4">
      <t>ヨウ</t>
    </rPh>
    <phoneticPr fontId="3"/>
  </si>
  <si>
    <t>※SP用：紐づけ済みのVU商品を外す場合は、有効終了日時を過去にする</t>
    <phoneticPr fontId="3"/>
  </si>
  <si>
    <t>■20231116改定</t>
    <rPh sb="9" eb="11">
      <t>カイテイ</t>
    </rPh>
    <phoneticPr fontId="3"/>
  </si>
  <si>
    <t>取得コード情報はすべて「オファーリスト」タブで管理・VU価格もこちらに記入するため</t>
    <rPh sb="0" eb="2">
      <t>シュトク</t>
    </rPh>
    <rPh sb="5" eb="7">
      <t>ジョウホウ</t>
    </rPh>
    <rPh sb="23" eb="25">
      <t>カンリ</t>
    </rPh>
    <rPh sb="28" eb="30">
      <t>カカク</t>
    </rPh>
    <rPh sb="35" eb="37">
      <t>キニュウ</t>
    </rPh>
    <phoneticPr fontId="3"/>
  </si>
  <si>
    <r>
      <t xml:space="preserve">超分割
</t>
    </r>
    <r>
      <rPr>
        <b/>
        <sz val="9"/>
        <color rgb="FFFF0000"/>
        <rFont val="Meiryo UI"/>
        <family val="3"/>
        <charset val="128"/>
      </rPr>
      <t>　※9,000円以下(送料込み・税込み)は不可　※送料込みの価格</t>
    </r>
    <rPh sb="0" eb="3">
      <t>チョウブンカツ</t>
    </rPh>
    <rPh sb="11" eb="12">
      <t>エン</t>
    </rPh>
    <rPh sb="12" eb="14">
      <t>イカ</t>
    </rPh>
    <rPh sb="15" eb="17">
      <t>ソウリョウ</t>
    </rPh>
    <rPh sb="17" eb="18">
      <t>コ</t>
    </rPh>
    <rPh sb="20" eb="22">
      <t>ゼイコ</t>
    </rPh>
    <rPh sb="25" eb="27">
      <t>フカ</t>
    </rPh>
    <rPh sb="29" eb="31">
      <t>ソウリョウ</t>
    </rPh>
    <rPh sb="31" eb="32">
      <t>コ</t>
    </rPh>
    <rPh sb="34" eb="36">
      <t>カカク</t>
    </rPh>
    <phoneticPr fontId="3"/>
  </si>
  <si>
    <t>更新日：2025/12/24</t>
    <rPh sb="0" eb="3">
      <t>コウシンビ</t>
    </rPh>
    <phoneticPr fontId="3"/>
  </si>
  <si>
    <t>商品名（カタカナ・数値は半角のみ可）
※40文字まで（全角は2文字、半角は1文字）</t>
    <rPh sb="0" eb="3">
      <t>ショウヒンメイ</t>
    </rPh>
    <rPh sb="9" eb="11">
      <t>スウチ</t>
    </rPh>
    <rPh sb="12" eb="14">
      <t>ハンカク</t>
    </rPh>
    <rPh sb="16" eb="17">
      <t>カ</t>
    </rPh>
    <rPh sb="22" eb="24">
      <t>モジ</t>
    </rPh>
    <rPh sb="27" eb="29">
      <t>ゼンカク</t>
    </rPh>
    <rPh sb="31" eb="33">
      <t>モジ</t>
    </rPh>
    <rPh sb="34" eb="36">
      <t>ハンカク</t>
    </rPh>
    <rPh sb="38" eb="40">
      <t>モジ</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</si>
</sst>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76" formatCode="##&quot;日&quot;"/>
    <numFmt numFmtId="177" formatCode=";;;"/>
    <numFmt numFmtId="178" formatCode="0.0%"/>
  </numFmts>
  <fonts count="46">
    <font>
      <sz val="11"/>
      <color theme="1"/>
      <name val="游ゴシック"/>
      <family val="2"/>
      <charset val="128"/>
      <scheme val="minor"/>
    </font>
    <font>
      <sz val="11"/>
      <color theme="1"/>
      <name val="游ゴシック"/>
      <family val="2"/>
      <charset val="128"/>
      <scheme val="minor"/>
    </font>
    <font>
      <b/>
      <sz val="20"/>
      <name val="Meiryo UI"/>
      <family val="3"/>
      <charset val="128"/>
    </font>
    <font>
      <sz val="6"/>
      <name val="游ゴシック"/>
      <family val="2"/>
      <charset val="128"/>
      <scheme val="minor"/>
    </font>
    <font>
      <sz val="9"/>
      <color theme="1"/>
      <name val="Meiryo UI"/>
      <family val="3"/>
      <charset val="128"/>
    </font>
    <font>
      <sz val="9"/>
      <color rgb="FFFF0000"/>
      <name val="Meiryo UI"/>
      <family val="3"/>
      <charset val="128"/>
    </font>
    <font>
      <b/>
      <sz val="9"/>
      <name val="Meiryo UI"/>
      <family val="3"/>
      <charset val="128"/>
    </font>
    <font>
      <b/>
      <sz val="9"/>
      <color theme="1"/>
      <name val="Meiryo UI"/>
      <family val="3"/>
      <charset val="128"/>
    </font>
    <font>
      <sz val="6"/>
      <name val="ＭＳ Ｐゴシック"/>
      <family val="3"/>
      <charset val="128"/>
    </font>
    <font>
      <b/>
      <sz val="9"/>
      <color theme="0"/>
      <name val="Meiryo UI"/>
      <family val="3"/>
      <charset val="128"/>
    </font>
    <font>
      <sz val="9"/>
      <color theme="0"/>
      <name val="Meiryo UI"/>
      <family val="3"/>
      <charset val="128"/>
    </font>
    <font>
      <sz val="11"/>
      <name val="ＭＳ Ｐゴシック"/>
      <family val="3"/>
      <charset val="128"/>
    </font>
    <font>
      <sz val="9"/>
      <name val="Meiryo UI"/>
      <family val="3"/>
      <charset val="128"/>
    </font>
    <font>
      <b/>
      <sz val="10"/>
      <color indexed="10"/>
      <name val="ＭＳ Ｐゴシック"/>
      <family val="3"/>
      <charset val="128"/>
    </font>
    <font>
      <u/>
      <sz val="11"/>
      <color theme="10"/>
      <name val="游ゴシック"/>
      <family val="2"/>
      <charset val="128"/>
      <scheme val="minor"/>
    </font>
    <font>
      <b/>
      <sz val="11"/>
      <color theme="1"/>
      <name val="游ゴシック"/>
      <family val="3"/>
      <charset val="128"/>
      <scheme val="minor"/>
    </font>
    <font>
      <sz val="9"/>
      <color theme="6"/>
      <name val="Meiryo UI"/>
      <family val="3"/>
      <charset val="128"/>
    </font>
    <font>
      <sz val="11"/>
      <color theme="1"/>
      <name val="MS UI Gothic"/>
      <family val="2"/>
      <charset val="128"/>
    </font>
    <font>
      <sz val="11"/>
      <color theme="1"/>
      <name val="Meiryo UI"/>
      <family val="2"/>
      <charset val="128"/>
    </font>
    <font>
      <sz val="6"/>
      <name val="Meiryo UI"/>
      <family val="2"/>
      <charset val="128"/>
    </font>
    <font>
      <sz val="10"/>
      <name val="MS UI Gothic"/>
      <family val="3"/>
      <charset val="128"/>
    </font>
    <font>
      <b/>
      <sz val="9"/>
      <color indexed="81"/>
      <name val="MS P ゴシック"/>
      <family val="3"/>
      <charset val="128"/>
    </font>
    <font>
      <sz val="11"/>
      <color theme="1"/>
      <name val="Meiryo UI"/>
      <family val="3"/>
      <charset val="128"/>
    </font>
    <font>
      <sz val="8"/>
      <color theme="1"/>
      <name val="メイリオ"/>
      <family val="3"/>
      <charset val="128"/>
    </font>
    <font>
      <sz val="11"/>
      <name val="Meiryo UI"/>
      <family val="3"/>
      <charset val="128"/>
    </font>
    <font>
      <sz val="9"/>
      <color theme="0" tint="-4.9989318521683403E-2"/>
      <name val="Meiryo UI"/>
      <family val="3"/>
      <charset val="128"/>
    </font>
    <font>
      <sz val="10"/>
      <name val="Meiryo UI"/>
      <family val="3"/>
      <charset val="128"/>
    </font>
    <font>
      <b/>
      <sz val="9"/>
      <color theme="0" tint="-4.9989318521683403E-2"/>
      <name val="Meiryo UI"/>
      <family val="3"/>
      <charset val="128"/>
    </font>
    <font>
      <b/>
      <u/>
      <sz val="9"/>
      <color rgb="FF333333"/>
      <name val="Meiryo UI"/>
      <family val="3"/>
      <charset val="128"/>
    </font>
    <font>
      <b/>
      <sz val="9"/>
      <color rgb="FFFF0000"/>
      <name val="Meiryo UI"/>
      <family val="3"/>
      <charset val="128"/>
    </font>
    <font>
      <b/>
      <sz val="24"/>
      <color rgb="FF0000FF"/>
      <name val="Meiryo UI"/>
      <family val="3"/>
      <charset val="128"/>
    </font>
    <font>
      <b/>
      <u/>
      <sz val="9"/>
      <color theme="0" tint="-4.9989318521683403E-2"/>
      <name val="Meiryo UI"/>
      <family val="3"/>
      <charset val="128"/>
    </font>
    <font>
      <sz val="10"/>
      <color theme="0"/>
      <name val="Meiryo UI"/>
      <family val="3"/>
      <charset val="128"/>
    </font>
    <font>
      <b/>
      <sz val="10"/>
      <color theme="0"/>
      <name val="Meiryo UI"/>
      <family val="3"/>
      <charset val="128"/>
    </font>
    <font>
      <b/>
      <sz val="10"/>
      <name val="Meiryo UI"/>
      <family val="3"/>
      <charset val="128"/>
    </font>
    <font>
      <sz val="12"/>
      <color theme="1"/>
      <name val="Meiryo UI"/>
      <family val="3"/>
      <charset val="128"/>
    </font>
    <font>
      <sz val="10"/>
      <color theme="0" tint="-0.14999847407452621"/>
      <name val="Meiryo UI"/>
      <family val="3"/>
      <charset val="128"/>
    </font>
    <font>
      <sz val="11"/>
      <color theme="1"/>
      <name val="游ゴシック"/>
      <family val="3"/>
      <charset val="128"/>
      <scheme val="minor"/>
    </font>
    <font>
      <sz val="9"/>
      <color theme="1"/>
      <name val="Meiryo UI"/>
      <family val="2"/>
      <charset val="128"/>
    </font>
    <font>
      <sz val="9"/>
      <color indexed="81"/>
      <name val="MS P ゴシック"/>
      <family val="3"/>
      <charset val="128"/>
    </font>
    <font>
      <sz val="22"/>
      <color theme="1"/>
      <name val="Meiryo UI"/>
      <family val="3"/>
      <charset val="128"/>
    </font>
    <font>
      <b/>
      <sz val="14"/>
      <color theme="1"/>
      <name val="Meiryo UI"/>
      <family val="3"/>
      <charset val="128"/>
    </font>
    <font>
      <sz val="11"/>
      <color rgb="FFFF0000"/>
      <name val="Meiryo UI"/>
      <family val="3"/>
      <charset val="128"/>
    </font>
    <font>
      <sz val="9"/>
      <color rgb="FF0000FF"/>
      <name val="Meiryo UI"/>
      <family val="3"/>
      <charset val="128"/>
    </font>
    <font>
      <sz val="10"/>
      <color theme="0" tint="-0.499984740745262"/>
      <name val="Meiryo UI"/>
      <family val="3"/>
      <charset val="128"/>
    </font>
    <font>
      <b/>
      <sz val="12"/>
      <color theme="0"/>
      <name val="Meiryo UI"/>
      <family val="3"/>
      <charset val="128"/>
    </font>
  </fonts>
  <fills count="22">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7030A0"/>
        <bgColor indexed="64"/>
      </patternFill>
    </fill>
    <fill>
      <patternFill patternType="solid">
        <fgColor rgb="FFFF0066"/>
        <bgColor indexed="64"/>
      </patternFill>
    </fill>
    <fill>
      <patternFill patternType="solid">
        <fgColor theme="2"/>
        <bgColor indexed="64"/>
      </patternFill>
    </fill>
    <fill>
      <patternFill patternType="solid">
        <fgColor theme="6" tint="0.59999389629810485"/>
        <bgColor indexed="64"/>
      </patternFill>
    </fill>
    <fill>
      <patternFill patternType="solid">
        <fgColor indexed="65"/>
        <bgColor indexed="64"/>
      </patternFill>
    </fill>
    <fill>
      <patternFill patternType="solid">
        <fgColor theme="8" tint="0.59999389629810485"/>
        <bgColor rgb="FF000000"/>
      </patternFill>
    </fill>
    <fill>
      <patternFill patternType="solid">
        <fgColor theme="9" tint="0.59999389629810485"/>
        <bgColor rgb="FF000000"/>
      </patternFill>
    </fill>
    <fill>
      <patternFill patternType="solid">
        <fgColor theme="0"/>
        <bgColor indexed="64"/>
      </patternFill>
    </fill>
    <fill>
      <patternFill patternType="solid">
        <fgColor theme="9" tint="0.79998168889431442"/>
        <bgColor indexed="64"/>
      </patternFill>
    </fill>
    <fill>
      <patternFill patternType="solid">
        <fgColor rgb="FF3399FF"/>
        <bgColor indexed="64"/>
      </patternFill>
    </fill>
    <fill>
      <patternFill patternType="solid">
        <fgColor rgb="FF002060"/>
        <bgColor indexed="64"/>
      </patternFill>
    </fill>
    <fill>
      <patternFill patternType="solid">
        <fgColor rgb="FFFF0000"/>
        <bgColor indexed="64"/>
      </patternFill>
    </fill>
    <fill>
      <patternFill patternType="solid">
        <fgColor theme="4" tint="-0.249977111117893"/>
        <bgColor indexed="64"/>
      </patternFill>
    </fill>
    <fill>
      <patternFill patternType="solid">
        <fgColor rgb="FF00B0F0"/>
        <bgColor indexed="64"/>
      </patternFill>
    </fill>
    <fill>
      <patternFill patternType="solid">
        <fgColor rgb="FFFFCCFF"/>
        <bgColor indexed="64"/>
      </patternFill>
    </fill>
    <fill>
      <patternFill patternType="solid">
        <fgColor theme="0" tint="-4.9989318521683403E-2"/>
        <bgColor indexed="64"/>
      </patternFill>
    </fill>
    <fill>
      <patternFill patternType="solid">
        <fgColor rgb="FFCCFFCC"/>
        <bgColor indexed="64"/>
      </patternFill>
    </fill>
    <fill>
      <patternFill patternType="solid">
        <fgColor rgb="FF00B05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hair">
        <color indexed="64"/>
      </right>
      <top/>
      <bottom/>
      <diagonal/>
    </border>
    <border>
      <left style="hair">
        <color indexed="64"/>
      </left>
      <right style="thin">
        <color indexed="64"/>
      </right>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hair">
        <color indexed="64"/>
      </right>
      <top style="thin">
        <color indexed="64"/>
      </top>
      <bottom style="thin">
        <color indexed="64"/>
      </bottom>
      <diagonal style="thin">
        <color indexed="64"/>
      </diagonal>
    </border>
    <border diagonalUp="1">
      <left style="hair">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thin">
        <color indexed="64"/>
      </left>
      <right style="thin">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hair">
        <color indexed="64"/>
      </right>
      <top style="medium">
        <color indexed="64"/>
      </top>
      <bottom/>
      <diagonal/>
    </border>
    <border>
      <left style="hair">
        <color indexed="64"/>
      </left>
      <right style="thin">
        <color indexed="64"/>
      </right>
      <top style="medium">
        <color indexed="64"/>
      </top>
      <bottom/>
      <diagonal/>
    </border>
    <border>
      <left style="hair">
        <color indexed="64"/>
      </left>
      <right style="hair">
        <color indexed="64"/>
      </right>
      <top style="medium">
        <color indexed="64"/>
      </top>
      <bottom/>
      <diagonal/>
    </border>
  </borders>
  <cellStyleXfs count="22">
    <xf numFmtId="0" fontId="0" fillId="0" borderId="0">
      <alignment vertical="center"/>
    </xf>
    <xf numFmtId="38" fontId="1" fillId="0" borderId="0" applyFont="0" applyFill="0" applyBorder="0" applyAlignment="0" applyProtection="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xf numFmtId="0" fontId="11" fillId="0" borderId="0">
      <alignment vertical="center"/>
    </xf>
    <xf numFmtId="0" fontId="11" fillId="0" borderId="0"/>
    <xf numFmtId="0" fontId="14" fillId="0" borderId="0" applyNumberFormat="0" applyFill="0" applyBorder="0" applyAlignment="0" applyProtection="0">
      <alignment vertical="center"/>
    </xf>
    <xf numFmtId="0" fontId="17" fillId="0" borderId="0">
      <alignment vertical="center"/>
    </xf>
    <xf numFmtId="0" fontId="18" fillId="0" borderId="0">
      <alignment vertical="center"/>
    </xf>
    <xf numFmtId="6" fontId="11" fillId="0" borderId="0" applyFont="0" applyFill="0" applyBorder="0" applyAlignment="0" applyProtection="0">
      <alignment vertical="center"/>
    </xf>
    <xf numFmtId="9" fontId="18" fillId="0" borderId="0" applyFont="0" applyFill="0" applyBorder="0" applyAlignment="0" applyProtection="0">
      <alignment vertical="center"/>
    </xf>
    <xf numFmtId="0" fontId="18" fillId="0" borderId="0">
      <alignment vertical="center"/>
    </xf>
    <xf numFmtId="0" fontId="11" fillId="0" borderId="0">
      <alignment vertical="center"/>
    </xf>
    <xf numFmtId="6" fontId="18" fillId="0" borderId="0" applyFont="0" applyFill="0" applyBorder="0" applyAlignment="0" applyProtection="0">
      <alignment vertical="center"/>
    </xf>
    <xf numFmtId="9" fontId="18" fillId="0" borderId="0" applyFont="0" applyFill="0" applyBorder="0" applyAlignment="0" applyProtection="0">
      <alignment vertical="center"/>
    </xf>
    <xf numFmtId="0" fontId="11" fillId="0" borderId="0">
      <alignment vertical="center"/>
    </xf>
    <xf numFmtId="0" fontId="17" fillId="0" borderId="0">
      <alignment vertical="center"/>
    </xf>
    <xf numFmtId="6" fontId="1" fillId="0" borderId="0" applyFont="0" applyFill="0" applyBorder="0" applyAlignment="0" applyProtection="0">
      <alignment vertical="center"/>
    </xf>
    <xf numFmtId="0" fontId="37" fillId="0" borderId="0">
      <alignment vertical="center"/>
    </xf>
    <xf numFmtId="0" fontId="38" fillId="0" borderId="0">
      <alignment vertical="center"/>
    </xf>
    <xf numFmtId="0" fontId="1" fillId="0" borderId="0">
      <alignment vertical="center"/>
    </xf>
    <xf numFmtId="6" fontId="11" fillId="0" borderId="0" applyFont="0" applyFill="0" applyBorder="0" applyAlignment="0" applyProtection="0">
      <alignment vertical="center"/>
    </xf>
  </cellStyleXfs>
  <cellXfs count="228">
    <xf numFmtId="0" fontId="0" fillId="0" borderId="0" xfId="0">
      <alignment vertical="center"/>
    </xf>
    <xf numFmtId="0" fontId="2" fillId="0" borderId="0" xfId="0" applyFont="1" applyAlignment="1"/>
    <xf numFmtId="0" fontId="4" fillId="0" borderId="0" xfId="0" applyFont="1">
      <alignment vertical="center"/>
    </xf>
    <xf numFmtId="1" fontId="4" fillId="0" borderId="0" xfId="0" applyNumberFormat="1" applyFont="1">
      <alignment vertical="center"/>
    </xf>
    <xf numFmtId="0" fontId="12" fillId="0" borderId="7" xfId="4" applyFont="1" applyBorder="1">
      <alignment vertical="center"/>
    </xf>
    <xf numFmtId="176" fontId="12" fillId="6" borderId="7" xfId="4" applyNumberFormat="1" applyFont="1" applyFill="1" applyBorder="1" applyAlignment="1">
      <alignment horizontal="center" vertical="center"/>
    </xf>
    <xf numFmtId="0" fontId="12" fillId="0" borderId="6" xfId="4" applyFont="1" applyBorder="1">
      <alignment vertical="center"/>
    </xf>
    <xf numFmtId="176" fontId="12" fillId="6" borderId="6" xfId="4" applyNumberFormat="1" applyFont="1" applyFill="1" applyBorder="1" applyAlignment="1">
      <alignment horizontal="center" vertical="center"/>
    </xf>
    <xf numFmtId="0" fontId="12" fillId="0" borderId="1" xfId="4" applyFont="1" applyBorder="1" applyAlignment="1">
      <alignment vertical="center" wrapText="1"/>
    </xf>
    <xf numFmtId="176" fontId="12" fillId="6" borderId="14" xfId="4" applyNumberFormat="1" applyFont="1" applyFill="1" applyBorder="1" applyAlignment="1">
      <alignment horizontal="center" vertical="center"/>
    </xf>
    <xf numFmtId="0" fontId="12" fillId="0" borderId="0" xfId="0" applyFont="1">
      <alignment vertical="center"/>
    </xf>
    <xf numFmtId="0" fontId="4" fillId="0" borderId="0" xfId="0" applyFont="1" applyAlignment="1">
      <alignment horizontal="center" vertical="center"/>
    </xf>
    <xf numFmtId="1" fontId="4" fillId="0" borderId="0" xfId="1" applyNumberFormat="1" applyFont="1" applyFill="1" applyAlignment="1">
      <alignment horizontal="right"/>
    </xf>
    <xf numFmtId="0" fontId="4" fillId="0" borderId="0" xfId="0" applyFont="1" applyAlignment="1">
      <alignment horizontal="right"/>
    </xf>
    <xf numFmtId="0" fontId="6" fillId="7" borderId="11" xfId="4" applyFont="1" applyFill="1" applyBorder="1">
      <alignment vertical="center"/>
    </xf>
    <xf numFmtId="0" fontId="7" fillId="7" borderId="11" xfId="0" applyFont="1" applyFill="1" applyBorder="1" applyAlignment="1">
      <alignment horizontal="center" vertical="center"/>
    </xf>
    <xf numFmtId="38" fontId="12" fillId="6" borderId="9" xfId="1" applyFont="1" applyFill="1" applyBorder="1" applyAlignment="1">
      <alignment vertical="center"/>
    </xf>
    <xf numFmtId="38" fontId="12" fillId="6" borderId="10" xfId="1" applyFont="1" applyFill="1" applyBorder="1">
      <alignment vertical="center"/>
    </xf>
    <xf numFmtId="38" fontId="12" fillId="6" borderId="4" xfId="1" applyFont="1" applyFill="1" applyBorder="1" applyAlignment="1">
      <alignment vertical="center"/>
    </xf>
    <xf numFmtId="38" fontId="12" fillId="6" borderId="5" xfId="1" applyFont="1" applyFill="1" applyBorder="1">
      <alignment vertical="center"/>
    </xf>
    <xf numFmtId="38" fontId="6" fillId="7" borderId="12" xfId="1" applyFont="1" applyFill="1" applyBorder="1">
      <alignment vertical="center"/>
    </xf>
    <xf numFmtId="38" fontId="6" fillId="7" borderId="13" xfId="1" applyFont="1" applyFill="1" applyBorder="1">
      <alignment vertical="center"/>
    </xf>
    <xf numFmtId="38" fontId="12" fillId="6" borderId="15" xfId="1" applyFont="1" applyFill="1" applyBorder="1" applyAlignment="1">
      <alignment vertical="center"/>
    </xf>
    <xf numFmtId="38" fontId="12" fillId="6" borderId="2" xfId="1" applyFont="1" applyFill="1" applyBorder="1">
      <alignment vertical="center"/>
    </xf>
    <xf numFmtId="0" fontId="12" fillId="7" borderId="7" xfId="4" applyFont="1" applyFill="1" applyBorder="1" applyAlignment="1">
      <alignment vertical="center" wrapText="1"/>
    </xf>
    <xf numFmtId="0" fontId="12" fillId="7" borderId="8" xfId="4" applyFont="1" applyFill="1" applyBorder="1" applyAlignment="1">
      <alignment vertical="center" wrapText="1"/>
    </xf>
    <xf numFmtId="177" fontId="6" fillId="7" borderId="7" xfId="0" applyNumberFormat="1" applyFont="1" applyFill="1" applyBorder="1" applyAlignment="1">
      <alignment horizontal="center" vertical="center"/>
    </xf>
    <xf numFmtId="0" fontId="12" fillId="7" borderId="7" xfId="4" applyFont="1" applyFill="1" applyBorder="1" applyAlignment="1">
      <alignment horizontal="center" vertical="center"/>
    </xf>
    <xf numFmtId="0" fontId="12" fillId="7" borderId="6" xfId="4" applyFont="1" applyFill="1" applyBorder="1" applyAlignment="1">
      <alignment vertical="center" wrapText="1"/>
    </xf>
    <xf numFmtId="0" fontId="12" fillId="7" borderId="3" xfId="4" applyFont="1" applyFill="1" applyBorder="1" applyAlignment="1">
      <alignment vertical="center" wrapText="1"/>
    </xf>
    <xf numFmtId="177" fontId="6" fillId="7" borderId="6" xfId="0" applyNumberFormat="1" applyFont="1" applyFill="1" applyBorder="1" applyAlignment="1">
      <alignment horizontal="center" vertical="center"/>
    </xf>
    <xf numFmtId="0" fontId="12" fillId="7" borderId="6" xfId="4" applyFont="1" applyFill="1" applyBorder="1" applyAlignment="1">
      <alignment horizontal="center" vertical="center"/>
    </xf>
    <xf numFmtId="1" fontId="12" fillId="6" borderId="7" xfId="1" applyNumberFormat="1" applyFont="1" applyFill="1" applyBorder="1" applyAlignment="1">
      <alignment horizontal="center"/>
    </xf>
    <xf numFmtId="1" fontId="12" fillId="6" borderId="6" xfId="1" applyNumberFormat="1" applyFont="1" applyFill="1" applyBorder="1" applyAlignment="1">
      <alignment horizontal="center"/>
    </xf>
    <xf numFmtId="1" fontId="12" fillId="6" borderId="14" xfId="1" applyNumberFormat="1" applyFont="1" applyFill="1" applyBorder="1" applyAlignment="1">
      <alignment horizontal="center"/>
    </xf>
    <xf numFmtId="0" fontId="14" fillId="0" borderId="0" xfId="6">
      <alignment vertical="center"/>
    </xf>
    <xf numFmtId="38" fontId="12" fillId="0" borderId="9" xfId="1" applyFont="1" applyFill="1" applyBorder="1" applyAlignment="1">
      <alignment horizontal="right" vertical="center"/>
    </xf>
    <xf numFmtId="38" fontId="12" fillId="0" borderId="10" xfId="1" applyFont="1" applyBorder="1" applyAlignment="1">
      <alignment horizontal="right" vertical="center"/>
    </xf>
    <xf numFmtId="38" fontId="12" fillId="0" borderId="4" xfId="1" applyFont="1" applyFill="1" applyBorder="1" applyAlignment="1">
      <alignment horizontal="right" vertical="center"/>
    </xf>
    <xf numFmtId="38" fontId="12" fillId="0" borderId="5" xfId="1" applyFont="1" applyBorder="1" applyAlignment="1">
      <alignment horizontal="right" vertical="center"/>
    </xf>
    <xf numFmtId="0" fontId="15" fillId="0" borderId="0" xfId="0" applyFont="1">
      <alignment vertical="center"/>
    </xf>
    <xf numFmtId="0" fontId="12" fillId="6" borderId="10" xfId="2" applyNumberFormat="1" applyFont="1" applyFill="1" applyBorder="1" applyAlignment="1">
      <alignment vertical="center"/>
    </xf>
    <xf numFmtId="0" fontId="12" fillId="6" borderId="5" xfId="2" applyNumberFormat="1" applyFont="1" applyFill="1" applyBorder="1" applyAlignment="1">
      <alignment vertical="center"/>
    </xf>
    <xf numFmtId="0" fontId="12" fillId="6" borderId="2" xfId="2" applyNumberFormat="1" applyFont="1" applyFill="1" applyBorder="1" applyAlignment="1">
      <alignment vertical="center"/>
    </xf>
    <xf numFmtId="38" fontId="6" fillId="0" borderId="17" xfId="1" applyFont="1" applyFill="1" applyBorder="1">
      <alignment vertical="center"/>
    </xf>
    <xf numFmtId="38" fontId="6" fillId="0" borderId="18" xfId="1" applyFont="1" applyFill="1" applyBorder="1">
      <alignment vertical="center"/>
    </xf>
    <xf numFmtId="0" fontId="12" fillId="3" borderId="3" xfId="4" applyFont="1" applyFill="1" applyBorder="1" applyAlignment="1">
      <alignment horizontal="center" vertical="center" wrapText="1"/>
    </xf>
    <xf numFmtId="0" fontId="20" fillId="12" borderId="1" xfId="8" applyFont="1" applyFill="1" applyBorder="1" applyAlignment="1">
      <alignment horizontal="center" vertical="center" wrapText="1"/>
    </xf>
    <xf numFmtId="0" fontId="4" fillId="3" borderId="7"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4" xfId="0" applyFont="1" applyFill="1" applyBorder="1" applyAlignment="1">
      <alignment horizontal="center" vertical="center"/>
    </xf>
    <xf numFmtId="38" fontId="6" fillId="3" borderId="5" xfId="1" applyFont="1" applyFill="1" applyBorder="1" applyAlignment="1">
      <alignment horizontal="center" vertical="center"/>
    </xf>
    <xf numFmtId="0" fontId="5" fillId="2" borderId="0" xfId="0" applyFont="1" applyFill="1" applyAlignment="1">
      <alignment horizontal="center" vertical="center"/>
    </xf>
    <xf numFmtId="0" fontId="16" fillId="0" borderId="0" xfId="0" applyFont="1" applyAlignment="1">
      <alignment horizontal="center" vertical="center"/>
    </xf>
    <xf numFmtId="0" fontId="25" fillId="13" borderId="0" xfId="0" applyFont="1" applyFill="1" applyAlignment="1">
      <alignment horizontal="center" vertical="center"/>
    </xf>
    <xf numFmtId="0" fontId="2" fillId="0" borderId="0" xfId="0" applyFont="1" applyAlignment="1">
      <alignment horizontal="center" vertical="center"/>
    </xf>
    <xf numFmtId="0" fontId="7" fillId="0" borderId="0" xfId="0" applyFont="1" applyAlignment="1">
      <alignment horizontal="center" vertical="center"/>
    </xf>
    <xf numFmtId="0" fontId="4" fillId="0" borderId="0" xfId="0" applyFont="1" applyAlignment="1">
      <alignment horizontal="left" vertical="center"/>
    </xf>
    <xf numFmtId="0" fontId="28" fillId="0" borderId="0" xfId="0" applyFont="1">
      <alignment vertical="center"/>
    </xf>
    <xf numFmtId="0" fontId="4" fillId="12" borderId="1" xfId="0" applyFont="1" applyFill="1" applyBorder="1" applyAlignment="1">
      <alignment horizontal="center" vertical="center"/>
    </xf>
    <xf numFmtId="0" fontId="4" fillId="0" borderId="1" xfId="0" applyFont="1" applyBorder="1" applyAlignment="1">
      <alignment horizontal="center" vertical="center"/>
    </xf>
    <xf numFmtId="0" fontId="4" fillId="18" borderId="1" xfId="0" applyFont="1" applyFill="1" applyBorder="1" applyAlignment="1">
      <alignment horizontal="center" vertical="center"/>
    </xf>
    <xf numFmtId="0" fontId="4" fillId="2" borderId="0" xfId="0" applyFont="1" applyFill="1" applyAlignment="1">
      <alignment horizontal="center" vertical="center"/>
    </xf>
    <xf numFmtId="14" fontId="4" fillId="2" borderId="0" xfId="0" applyNumberFormat="1" applyFont="1" applyFill="1" applyAlignment="1">
      <alignment horizontal="center" vertical="center"/>
    </xf>
    <xf numFmtId="0" fontId="9" fillId="16" borderId="1" xfId="0" applyFont="1" applyFill="1" applyBorder="1" applyAlignment="1">
      <alignment horizontal="center" vertical="center"/>
    </xf>
    <xf numFmtId="1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10" fillId="0" borderId="0" xfId="0" applyFont="1" applyAlignment="1">
      <alignment horizontal="center" vertical="center"/>
    </xf>
    <xf numFmtId="0" fontId="5" fillId="0" borderId="0" xfId="0" applyFont="1" applyAlignment="1">
      <alignment horizontal="left" vertical="center"/>
    </xf>
    <xf numFmtId="0" fontId="29" fillId="0" borderId="0" xfId="0" applyFont="1" applyAlignment="1">
      <alignment horizontal="right" vertical="center"/>
    </xf>
    <xf numFmtId="0" fontId="9" fillId="16" borderId="1" xfId="0" applyFont="1" applyFill="1" applyBorder="1" applyAlignment="1">
      <alignment horizontal="center" vertical="center" wrapText="1"/>
    </xf>
    <xf numFmtId="0" fontId="30" fillId="0" borderId="0" xfId="0" applyFont="1" applyAlignment="1">
      <alignment horizontal="left" vertical="center"/>
    </xf>
    <xf numFmtId="0" fontId="9" fillId="17" borderId="1" xfId="0" applyFont="1" applyFill="1" applyBorder="1" applyAlignment="1">
      <alignment horizontal="center" vertical="center"/>
    </xf>
    <xf numFmtId="0" fontId="7" fillId="3" borderId="1" xfId="0" applyFont="1" applyFill="1" applyBorder="1" applyAlignment="1">
      <alignment vertical="center" wrapText="1"/>
    </xf>
    <xf numFmtId="38" fontId="6" fillId="3" borderId="18" xfId="1" applyFont="1" applyFill="1" applyBorder="1" applyAlignment="1">
      <alignment horizontal="center" vertical="center"/>
    </xf>
    <xf numFmtId="0" fontId="29" fillId="0" borderId="0" xfId="0" applyFont="1" applyAlignment="1">
      <alignment horizontal="left" vertical="center"/>
    </xf>
    <xf numFmtId="0" fontId="26" fillId="8" borderId="0" xfId="8" applyFont="1" applyFill="1">
      <alignment vertical="center"/>
    </xf>
    <xf numFmtId="0" fontId="2" fillId="8" borderId="0" xfId="16" applyFont="1" applyFill="1" applyAlignment="1"/>
    <xf numFmtId="0" fontId="32" fillId="11" borderId="0" xfId="8" applyFont="1" applyFill="1">
      <alignment vertical="center"/>
    </xf>
    <xf numFmtId="0" fontId="2" fillId="8" borderId="0" xfId="16" applyFont="1" applyFill="1" applyAlignment="1">
      <alignment horizontal="left"/>
    </xf>
    <xf numFmtId="0" fontId="26" fillId="8" borderId="0" xfId="8" applyFont="1" applyFill="1" applyAlignment="1">
      <alignment horizontal="center" vertical="center"/>
    </xf>
    <xf numFmtId="14" fontId="26" fillId="8" borderId="0" xfId="8" applyNumberFormat="1" applyFont="1" applyFill="1" applyAlignment="1">
      <alignment horizontal="left" vertical="center"/>
    </xf>
    <xf numFmtId="0" fontId="33" fillId="17" borderId="0" xfId="8" applyFont="1" applyFill="1">
      <alignment vertical="center"/>
    </xf>
    <xf numFmtId="0" fontId="34" fillId="9" borderId="1" xfId="8" applyFont="1" applyFill="1" applyBorder="1" applyAlignment="1">
      <alignment horizontal="center" vertical="center" wrapText="1"/>
    </xf>
    <xf numFmtId="0" fontId="34" fillId="10" borderId="1" xfId="8" applyFont="1" applyFill="1" applyBorder="1" applyAlignment="1">
      <alignment horizontal="center" vertical="center" wrapText="1"/>
    </xf>
    <xf numFmtId="0" fontId="34" fillId="10" borderId="1" xfId="8" applyFont="1" applyFill="1" applyBorder="1" applyAlignment="1">
      <alignment horizontal="center" vertical="center"/>
    </xf>
    <xf numFmtId="6" fontId="34" fillId="10" borderId="1" xfId="9" applyFont="1" applyFill="1" applyBorder="1" applyAlignment="1">
      <alignment horizontal="center" vertical="center" wrapText="1"/>
    </xf>
    <xf numFmtId="9" fontId="34" fillId="10" borderId="1" xfId="8" applyNumberFormat="1" applyFont="1" applyFill="1" applyBorder="1" applyAlignment="1">
      <alignment horizontal="center" vertical="center"/>
    </xf>
    <xf numFmtId="0" fontId="22" fillId="3" borderId="1" xfId="8" applyFont="1" applyFill="1" applyBorder="1" applyAlignment="1">
      <alignment horizontal="left" vertical="center"/>
    </xf>
    <xf numFmtId="0" fontId="26" fillId="3" borderId="1" xfId="8" applyFont="1" applyFill="1" applyBorder="1" applyAlignment="1">
      <alignment horizontal="left" vertical="top" wrapText="1"/>
    </xf>
    <xf numFmtId="0" fontId="36" fillId="8" borderId="0" xfId="8" applyFont="1" applyFill="1">
      <alignment vertical="center"/>
    </xf>
    <xf numFmtId="0" fontId="29" fillId="0" borderId="0" xfId="0" applyFont="1" applyAlignment="1">
      <alignment horizontal="center" vertical="center"/>
    </xf>
    <xf numFmtId="0" fontId="4" fillId="0" borderId="0" xfId="0" applyFont="1" applyAlignment="1">
      <alignment horizontal="center" vertical="center" shrinkToFit="1"/>
    </xf>
    <xf numFmtId="38" fontId="6" fillId="3" borderId="1" xfId="1" applyFont="1" applyFill="1" applyBorder="1" applyAlignment="1">
      <alignment horizontal="center" vertical="center"/>
    </xf>
    <xf numFmtId="0" fontId="4" fillId="0" borderId="0" xfId="0" applyFont="1" applyAlignment="1">
      <alignment horizontal="center" vertical="center" wrapText="1"/>
    </xf>
    <xf numFmtId="0" fontId="35" fillId="3" borderId="1" xfId="11" applyFont="1" applyFill="1" applyBorder="1" applyAlignment="1">
      <alignment horizontal="center" vertical="center" wrapText="1"/>
    </xf>
    <xf numFmtId="0" fontId="26" fillId="3" borderId="1" xfId="8" applyFont="1" applyFill="1" applyBorder="1">
      <alignment vertical="center"/>
    </xf>
    <xf numFmtId="0" fontId="22" fillId="3" borderId="1" xfId="8" applyFont="1" applyFill="1" applyBorder="1" applyAlignment="1">
      <alignment horizontal="center" vertical="center"/>
    </xf>
    <xf numFmtId="0" fontId="41" fillId="18" borderId="0" xfId="0" applyFont="1" applyFill="1">
      <alignment vertical="center"/>
    </xf>
    <xf numFmtId="0" fontId="22" fillId="18" borderId="0" xfId="0" applyFont="1" applyFill="1">
      <alignment vertical="center"/>
    </xf>
    <xf numFmtId="0" fontId="22" fillId="0" borderId="0" xfId="0" applyFont="1">
      <alignment vertical="center"/>
    </xf>
    <xf numFmtId="0" fontId="24" fillId="19" borderId="0" xfId="0" applyFont="1" applyFill="1">
      <alignment vertical="center"/>
    </xf>
    <xf numFmtId="38" fontId="12" fillId="6" borderId="15" xfId="1" applyFont="1" applyFill="1" applyBorder="1">
      <alignment vertical="center"/>
    </xf>
    <xf numFmtId="38" fontId="12" fillId="6" borderId="9" xfId="1" applyFont="1" applyFill="1" applyBorder="1">
      <alignment vertical="center"/>
    </xf>
    <xf numFmtId="38" fontId="12" fillId="6" borderId="4" xfId="1" applyFont="1" applyFill="1" applyBorder="1">
      <alignment vertical="center"/>
    </xf>
    <xf numFmtId="38" fontId="7" fillId="0" borderId="15" xfId="1" applyFont="1" applyFill="1" applyBorder="1" applyAlignment="1">
      <alignment horizontal="center" vertical="center"/>
    </xf>
    <xf numFmtId="178" fontId="12" fillId="6" borderId="15" xfId="3" applyNumberFormat="1" applyFont="1" applyFill="1" applyBorder="1" applyAlignment="1">
      <alignment vertical="center"/>
    </xf>
    <xf numFmtId="38" fontId="12" fillId="6" borderId="19" xfId="1" applyFont="1" applyFill="1" applyBorder="1" applyAlignment="1">
      <alignment vertical="center"/>
    </xf>
    <xf numFmtId="178" fontId="12" fillId="6" borderId="9" xfId="3" applyNumberFormat="1" applyFont="1" applyFill="1" applyBorder="1" applyAlignment="1">
      <alignment vertical="center"/>
    </xf>
    <xf numFmtId="38" fontId="12" fillId="6" borderId="20" xfId="1" applyFont="1" applyFill="1" applyBorder="1" applyAlignment="1">
      <alignment vertical="center"/>
    </xf>
    <xf numFmtId="178" fontId="12" fillId="6" borderId="4" xfId="3" applyNumberFormat="1" applyFont="1" applyFill="1" applyBorder="1" applyAlignment="1">
      <alignment vertical="center"/>
    </xf>
    <xf numFmtId="38" fontId="12" fillId="6" borderId="21" xfId="1" applyFont="1" applyFill="1" applyBorder="1" applyAlignment="1">
      <alignment vertical="center"/>
    </xf>
    <xf numFmtId="0" fontId="12" fillId="6" borderId="15" xfId="2" applyNumberFormat="1" applyFont="1" applyFill="1" applyBorder="1" applyAlignment="1">
      <alignment horizontal="center" vertical="center"/>
    </xf>
    <xf numFmtId="176" fontId="12" fillId="6" borderId="2" xfId="4" applyNumberFormat="1" applyFont="1" applyFill="1" applyBorder="1" applyAlignment="1">
      <alignment horizontal="center" vertical="center"/>
    </xf>
    <xf numFmtId="0" fontId="12" fillId="6" borderId="9" xfId="2" applyNumberFormat="1" applyFont="1" applyFill="1" applyBorder="1" applyAlignment="1">
      <alignment horizontal="center" vertical="center"/>
    </xf>
    <xf numFmtId="176" fontId="12" fillId="6" borderId="10" xfId="4" applyNumberFormat="1" applyFont="1" applyFill="1" applyBorder="1" applyAlignment="1">
      <alignment horizontal="center" vertical="center"/>
    </xf>
    <xf numFmtId="0" fontId="12" fillId="6" borderId="4" xfId="2" applyNumberFormat="1" applyFont="1" applyFill="1" applyBorder="1" applyAlignment="1">
      <alignment horizontal="center" vertical="center"/>
    </xf>
    <xf numFmtId="176" fontId="12" fillId="6" borderId="5" xfId="4" applyNumberFormat="1" applyFont="1" applyFill="1" applyBorder="1" applyAlignment="1">
      <alignment horizontal="center" vertical="center"/>
    </xf>
    <xf numFmtId="176" fontId="6" fillId="3" borderId="1" xfId="2" applyNumberFormat="1" applyFont="1" applyFill="1" applyBorder="1" applyAlignment="1">
      <alignment horizontal="center" vertical="center"/>
    </xf>
    <xf numFmtId="38" fontId="7" fillId="0" borderId="17" xfId="1" applyFont="1" applyFill="1" applyBorder="1" applyAlignment="1">
      <alignment horizontal="center" vertical="center"/>
    </xf>
    <xf numFmtId="38" fontId="6" fillId="20" borderId="21" xfId="1" applyFont="1" applyFill="1" applyBorder="1" applyAlignment="1">
      <alignment horizontal="center" vertical="center"/>
    </xf>
    <xf numFmtId="38" fontId="6" fillId="20" borderId="5" xfId="1" applyFont="1" applyFill="1" applyBorder="1" applyAlignment="1">
      <alignment horizontal="center" vertical="center"/>
    </xf>
    <xf numFmtId="38" fontId="6" fillId="20" borderId="23" xfId="1" applyFont="1" applyFill="1" applyBorder="1" applyAlignment="1">
      <alignment horizontal="center" vertical="center"/>
    </xf>
    <xf numFmtId="38" fontId="6" fillId="20" borderId="18" xfId="1" applyFont="1" applyFill="1" applyBorder="1" applyAlignment="1">
      <alignment horizontal="center" vertical="center"/>
    </xf>
    <xf numFmtId="6" fontId="26" fillId="3" borderId="1" xfId="9" applyFont="1" applyFill="1" applyBorder="1" applyAlignment="1">
      <alignment horizontal="center" vertical="center"/>
    </xf>
    <xf numFmtId="6" fontId="26" fillId="3" borderId="1" xfId="8" applyNumberFormat="1" applyFont="1" applyFill="1" applyBorder="1">
      <alignment vertical="center"/>
    </xf>
    <xf numFmtId="9" fontId="26" fillId="3" borderId="1" xfId="10" applyFont="1" applyFill="1" applyBorder="1">
      <alignment vertical="center"/>
    </xf>
    <xf numFmtId="14" fontId="44" fillId="8" borderId="0" xfId="8" applyNumberFormat="1" applyFont="1" applyFill="1" applyAlignment="1">
      <alignment horizontal="left" vertical="center"/>
    </xf>
    <xf numFmtId="0" fontId="44" fillId="8" borderId="0" xfId="8" applyFont="1" applyFill="1">
      <alignment vertical="center"/>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27" fillId="15" borderId="25" xfId="0" applyFont="1" applyFill="1" applyBorder="1" applyAlignment="1">
      <alignment horizontal="center" vertical="center" wrapText="1"/>
    </xf>
    <xf numFmtId="0" fontId="9" fillId="14" borderId="26" xfId="0" applyFont="1" applyFill="1" applyBorder="1" applyAlignment="1">
      <alignment horizontal="center" vertical="center" wrapText="1"/>
    </xf>
    <xf numFmtId="0" fontId="27" fillId="15" borderId="24" xfId="4" applyFont="1" applyFill="1" applyBorder="1" applyAlignment="1">
      <alignment horizontal="center" vertical="center"/>
    </xf>
    <xf numFmtId="0" fontId="6" fillId="0" borderId="24" xfId="4" applyFont="1" applyBorder="1" applyAlignment="1">
      <alignment horizontal="center" vertical="center"/>
    </xf>
    <xf numFmtId="1" fontId="6" fillId="0" borderId="27" xfId="1" applyNumberFormat="1" applyFont="1" applyFill="1" applyBorder="1" applyAlignment="1">
      <alignment horizontal="center" vertical="center" wrapText="1"/>
    </xf>
    <xf numFmtId="0" fontId="6" fillId="0" borderId="28" xfId="4" applyFont="1" applyBorder="1" applyAlignment="1">
      <alignment horizontal="center" vertical="center" wrapText="1"/>
    </xf>
    <xf numFmtId="1" fontId="6" fillId="0" borderId="27" xfId="2" applyNumberFormat="1" applyFont="1" applyFill="1" applyBorder="1" applyAlignment="1">
      <alignment horizontal="center" vertical="center" wrapText="1"/>
    </xf>
    <xf numFmtId="0" fontId="27" fillId="15" borderId="28" xfId="4" applyFont="1" applyFill="1" applyBorder="1" applyAlignment="1">
      <alignment horizontal="center" vertical="center"/>
    </xf>
    <xf numFmtId="1" fontId="6" fillId="12" borderId="29" xfId="4" applyNumberFormat="1" applyFont="1" applyFill="1" applyBorder="1" applyAlignment="1">
      <alignment horizontal="center" vertical="center" wrapText="1"/>
    </xf>
    <xf numFmtId="0" fontId="6" fillId="12" borderId="28" xfId="4" applyFont="1" applyFill="1" applyBorder="1" applyAlignment="1">
      <alignment horizontal="center" vertical="center" wrapText="1"/>
    </xf>
    <xf numFmtId="0" fontId="27" fillId="15" borderId="27" xfId="4" applyFont="1" applyFill="1" applyBorder="1" applyAlignment="1">
      <alignment horizontal="center" vertical="center"/>
    </xf>
    <xf numFmtId="0" fontId="27" fillId="15" borderId="24" xfId="4" applyFont="1" applyFill="1" applyBorder="1" applyAlignment="1">
      <alignment horizontal="center" vertical="center" wrapText="1"/>
    </xf>
    <xf numFmtId="0" fontId="9" fillId="15" borderId="24" xfId="0" applyFont="1" applyFill="1" applyBorder="1" applyAlignment="1">
      <alignment horizontal="center" vertical="center" wrapText="1"/>
    </xf>
    <xf numFmtId="0" fontId="12" fillId="3" borderId="16" xfId="4" applyFont="1" applyFill="1" applyBorder="1" applyAlignment="1">
      <alignment horizontal="center" vertical="center" wrapText="1"/>
    </xf>
    <xf numFmtId="0" fontId="6" fillId="3" borderId="17" xfId="2" applyNumberFormat="1" applyFont="1" applyFill="1" applyBorder="1" applyAlignment="1">
      <alignment horizontal="center" vertical="center"/>
    </xf>
    <xf numFmtId="1" fontId="6" fillId="3" borderId="1" xfId="1" applyNumberFormat="1" applyFont="1" applyFill="1" applyBorder="1" applyAlignment="1">
      <alignment horizontal="center" vertical="center"/>
    </xf>
    <xf numFmtId="38" fontId="12" fillId="6" borderId="20" xfId="1" applyFont="1" applyFill="1" applyBorder="1">
      <alignment vertical="center"/>
    </xf>
    <xf numFmtId="38" fontId="12" fillId="6" borderId="19" xfId="1" applyFont="1" applyFill="1" applyBorder="1">
      <alignment vertical="center"/>
    </xf>
    <xf numFmtId="38" fontId="12" fillId="6" borderId="21" xfId="1" applyFont="1" applyFill="1" applyBorder="1">
      <alignment vertical="center"/>
    </xf>
    <xf numFmtId="0" fontId="27" fillId="13" borderId="27" xfId="4" applyFont="1" applyFill="1" applyBorder="1" applyAlignment="1">
      <alignment horizontal="center" vertical="center" wrapText="1"/>
    </xf>
    <xf numFmtId="0" fontId="27" fillId="13" borderId="29" xfId="4" applyFont="1" applyFill="1" applyBorder="1" applyAlignment="1">
      <alignment horizontal="center" vertical="center" wrapText="1"/>
    </xf>
    <xf numFmtId="0" fontId="27" fillId="13" borderId="28" xfId="4" applyFont="1" applyFill="1" applyBorder="1" applyAlignment="1">
      <alignment horizontal="center" vertical="center" wrapText="1"/>
    </xf>
    <xf numFmtId="38" fontId="6" fillId="3" borderId="23" xfId="1" applyFont="1" applyFill="1" applyBorder="1" applyAlignment="1">
      <alignment horizontal="center" vertical="center"/>
    </xf>
    <xf numFmtId="176" fontId="6" fillId="3" borderId="17" xfId="2" applyNumberFormat="1" applyFont="1" applyFill="1" applyBorder="1" applyAlignment="1">
      <alignment horizontal="center" vertical="center"/>
    </xf>
    <xf numFmtId="176" fontId="12" fillId="6" borderId="9" xfId="4" applyNumberFormat="1" applyFont="1" applyFill="1" applyBorder="1" applyAlignment="1">
      <alignment horizontal="center" vertical="center"/>
    </xf>
    <xf numFmtId="176" fontId="12" fillId="6" borderId="4" xfId="4" applyNumberFormat="1" applyFont="1" applyFill="1" applyBorder="1" applyAlignment="1">
      <alignment horizontal="center" vertical="center"/>
    </xf>
    <xf numFmtId="0" fontId="27" fillId="15" borderId="29" xfId="4" applyFont="1" applyFill="1" applyBorder="1" applyAlignment="1">
      <alignment horizontal="center" vertical="center" wrapText="1"/>
    </xf>
    <xf numFmtId="0" fontId="27" fillId="15" borderId="28" xfId="4" applyFont="1" applyFill="1" applyBorder="1" applyAlignment="1">
      <alignment horizontal="center" vertical="center" wrapText="1"/>
    </xf>
    <xf numFmtId="176" fontId="6" fillId="3" borderId="23" xfId="2" applyNumberFormat="1" applyFont="1" applyFill="1" applyBorder="1" applyAlignment="1">
      <alignment horizontal="center" vertical="center"/>
    </xf>
    <xf numFmtId="0" fontId="6" fillId="3" borderId="23" xfId="2" applyNumberFormat="1" applyFont="1" applyFill="1" applyBorder="1" applyAlignment="1">
      <alignment horizontal="center" vertical="center"/>
    </xf>
    <xf numFmtId="0" fontId="6" fillId="3" borderId="18" xfId="2" applyNumberFormat="1" applyFont="1" applyFill="1" applyBorder="1" applyAlignment="1">
      <alignment horizontal="center" vertical="center"/>
    </xf>
    <xf numFmtId="176" fontId="12" fillId="6" borderId="15" xfId="4" applyNumberFormat="1" applyFont="1" applyFill="1" applyBorder="1" applyAlignment="1">
      <alignment horizontal="center" vertical="center"/>
    </xf>
    <xf numFmtId="176" fontId="6" fillId="6" borderId="19" xfId="2" applyNumberFormat="1" applyFont="1" applyFill="1" applyBorder="1" applyAlignment="1">
      <alignment horizontal="center" vertical="center"/>
    </xf>
    <xf numFmtId="176" fontId="12" fillId="6" borderId="19" xfId="4" applyNumberFormat="1" applyFont="1" applyFill="1" applyBorder="1" applyAlignment="1">
      <alignment horizontal="center" vertical="center"/>
    </xf>
    <xf numFmtId="176" fontId="12" fillId="6" borderId="20" xfId="4" applyNumberFormat="1" applyFont="1" applyFill="1" applyBorder="1" applyAlignment="1">
      <alignment horizontal="center" vertical="center"/>
    </xf>
    <xf numFmtId="176" fontId="6" fillId="6" borderId="20" xfId="2" applyNumberFormat="1" applyFont="1" applyFill="1" applyBorder="1" applyAlignment="1">
      <alignment horizontal="center" vertical="center"/>
    </xf>
    <xf numFmtId="176" fontId="6" fillId="6" borderId="21" xfId="2" applyNumberFormat="1" applyFont="1" applyFill="1" applyBorder="1" applyAlignment="1">
      <alignment horizontal="center" vertical="center"/>
    </xf>
    <xf numFmtId="176" fontId="12" fillId="6" borderId="21" xfId="4" applyNumberFormat="1" applyFont="1" applyFill="1" applyBorder="1" applyAlignment="1">
      <alignment horizontal="center" vertical="center"/>
    </xf>
    <xf numFmtId="0" fontId="27" fillId="15" borderId="27" xfId="4" applyFont="1" applyFill="1" applyBorder="1" applyAlignment="1">
      <alignment horizontal="center" vertical="center" wrapText="1"/>
    </xf>
    <xf numFmtId="176" fontId="6" fillId="3" borderId="18" xfId="2" applyNumberFormat="1" applyFont="1" applyFill="1" applyBorder="1" applyAlignment="1">
      <alignment horizontal="center" vertical="center"/>
    </xf>
    <xf numFmtId="176" fontId="6" fillId="6" borderId="15" xfId="2" applyNumberFormat="1" applyFont="1" applyFill="1" applyBorder="1" applyAlignment="1">
      <alignment horizontal="center" vertical="center"/>
    </xf>
    <xf numFmtId="176" fontId="6" fillId="6" borderId="9" xfId="2" applyNumberFormat="1" applyFont="1" applyFill="1" applyBorder="1" applyAlignment="1">
      <alignment horizontal="center" vertical="center"/>
    </xf>
    <xf numFmtId="176" fontId="6" fillId="6" borderId="4" xfId="2" applyNumberFormat="1" applyFont="1" applyFill="1" applyBorder="1" applyAlignment="1">
      <alignment horizontal="center" vertical="center"/>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27" fillId="15" borderId="31" xfId="0" applyFont="1" applyFill="1" applyBorder="1" applyAlignment="1">
      <alignment horizontal="center" vertical="center" wrapText="1"/>
    </xf>
    <xf numFmtId="0" fontId="9" fillId="14" borderId="32" xfId="0" applyFont="1" applyFill="1" applyBorder="1" applyAlignment="1">
      <alignment horizontal="center" vertical="center" wrapText="1"/>
    </xf>
    <xf numFmtId="0" fontId="27" fillId="15" borderId="30" xfId="4" applyFont="1" applyFill="1" applyBorder="1" applyAlignment="1">
      <alignment horizontal="center" vertical="center"/>
    </xf>
    <xf numFmtId="0" fontId="6" fillId="0" borderId="30" xfId="4" applyFont="1" applyBorder="1" applyAlignment="1">
      <alignment horizontal="center" vertical="center"/>
    </xf>
    <xf numFmtId="1" fontId="6" fillId="0" borderId="33" xfId="1" applyNumberFormat="1" applyFont="1" applyFill="1" applyBorder="1" applyAlignment="1">
      <alignment horizontal="center" vertical="center" wrapText="1"/>
    </xf>
    <xf numFmtId="0" fontId="6" fillId="0" borderId="34" xfId="4" applyFont="1" applyBorder="1" applyAlignment="1">
      <alignment horizontal="center" vertical="center" wrapText="1"/>
    </xf>
    <xf numFmtId="1" fontId="6" fillId="0" borderId="33" xfId="2" applyNumberFormat="1" applyFont="1" applyFill="1" applyBorder="1" applyAlignment="1">
      <alignment horizontal="center" vertical="center" wrapText="1"/>
    </xf>
    <xf numFmtId="0" fontId="27" fillId="15" borderId="34" xfId="4" applyFont="1" applyFill="1" applyBorder="1" applyAlignment="1">
      <alignment horizontal="center" vertical="center"/>
    </xf>
    <xf numFmtId="1" fontId="6" fillId="12" borderId="35" xfId="4" applyNumberFormat="1" applyFont="1" applyFill="1" applyBorder="1" applyAlignment="1">
      <alignment horizontal="center" vertical="center" wrapText="1"/>
    </xf>
    <xf numFmtId="0" fontId="6" fillId="12" borderId="34" xfId="4" applyFont="1" applyFill="1" applyBorder="1" applyAlignment="1">
      <alignment horizontal="center" vertical="center" wrapText="1"/>
    </xf>
    <xf numFmtId="0" fontId="27" fillId="15" borderId="33" xfId="4" applyFont="1" applyFill="1" applyBorder="1" applyAlignment="1">
      <alignment horizontal="center" vertical="center"/>
    </xf>
    <xf numFmtId="0" fontId="27" fillId="15" borderId="30" xfId="4" applyFont="1" applyFill="1" applyBorder="1" applyAlignment="1">
      <alignment horizontal="center" vertical="center" wrapText="1"/>
    </xf>
    <xf numFmtId="0" fontId="9" fillId="15" borderId="30" xfId="0" applyFont="1" applyFill="1" applyBorder="1" applyAlignment="1">
      <alignment horizontal="center" vertical="center" wrapText="1"/>
    </xf>
    <xf numFmtId="0" fontId="27" fillId="15" borderId="35" xfId="4" applyFont="1" applyFill="1" applyBorder="1" applyAlignment="1">
      <alignment horizontal="center" vertical="center" wrapText="1"/>
    </xf>
    <xf numFmtId="0" fontId="27" fillId="15" borderId="34" xfId="4" applyFont="1" applyFill="1" applyBorder="1" applyAlignment="1">
      <alignment horizontal="center" vertical="center" wrapText="1"/>
    </xf>
    <xf numFmtId="0" fontId="27" fillId="15" borderId="33" xfId="4" applyFont="1" applyFill="1" applyBorder="1" applyAlignment="1">
      <alignment horizontal="center" vertical="center" wrapText="1"/>
    </xf>
    <xf numFmtId="0" fontId="27" fillId="13" borderId="33" xfId="4" applyFont="1" applyFill="1" applyBorder="1" applyAlignment="1">
      <alignment horizontal="center" vertical="center" wrapText="1"/>
    </xf>
    <xf numFmtId="0" fontId="27" fillId="13" borderId="35" xfId="4" applyFont="1" applyFill="1" applyBorder="1" applyAlignment="1">
      <alignment horizontal="center" vertical="center" wrapText="1"/>
    </xf>
    <xf numFmtId="0" fontId="27" fillId="13" borderId="34" xfId="4" applyFont="1" applyFill="1" applyBorder="1" applyAlignment="1">
      <alignment horizontal="center" vertical="center" wrapText="1"/>
    </xf>
    <xf numFmtId="0" fontId="33" fillId="17" borderId="1" xfId="8" applyFont="1" applyFill="1" applyBorder="1">
      <alignment vertical="center"/>
    </xf>
    <xf numFmtId="178" fontId="4" fillId="0" borderId="0" xfId="3" applyNumberFormat="1" applyFont="1" applyAlignment="1">
      <alignment horizontal="center" vertical="center"/>
    </xf>
    <xf numFmtId="178" fontId="12" fillId="0" borderId="0" xfId="3" applyNumberFormat="1" applyFont="1" applyAlignment="1">
      <alignment horizontal="center" vertical="center"/>
    </xf>
    <xf numFmtId="178" fontId="16" fillId="0" borderId="0" xfId="3" applyNumberFormat="1" applyFont="1" applyAlignment="1">
      <alignment horizontal="center" vertical="center"/>
    </xf>
    <xf numFmtId="178" fontId="6" fillId="12" borderId="27" xfId="3" applyNumberFormat="1" applyFont="1" applyFill="1" applyBorder="1" applyAlignment="1">
      <alignment horizontal="center" vertical="center"/>
    </xf>
    <xf numFmtId="178" fontId="6" fillId="20" borderId="17" xfId="3" applyNumberFormat="1" applyFont="1" applyFill="1" applyBorder="1" applyAlignment="1">
      <alignment horizontal="center" vertical="center"/>
    </xf>
    <xf numFmtId="178" fontId="6" fillId="20" borderId="4" xfId="3" applyNumberFormat="1" applyFont="1" applyFill="1" applyBorder="1" applyAlignment="1">
      <alignment horizontal="center" vertical="center"/>
    </xf>
    <xf numFmtId="178" fontId="4" fillId="0" borderId="0" xfId="3" applyNumberFormat="1" applyFont="1">
      <alignment vertical="center"/>
    </xf>
    <xf numFmtId="178" fontId="6" fillId="12" borderId="33" xfId="3" applyNumberFormat="1" applyFont="1" applyFill="1" applyBorder="1" applyAlignment="1">
      <alignment horizontal="center" vertical="center"/>
    </xf>
    <xf numFmtId="0" fontId="45" fillId="14" borderId="26" xfId="0" applyFont="1" applyFill="1" applyBorder="1" applyAlignment="1">
      <alignment horizontal="center" vertical="center" wrapText="1"/>
    </xf>
    <xf numFmtId="0" fontId="12" fillId="3" borderId="1" xfId="4" applyFont="1" applyFill="1" applyBorder="1" applyAlignment="1">
      <alignment horizontal="center" vertical="center"/>
    </xf>
    <xf numFmtId="0" fontId="23" fillId="3" borderId="1" xfId="11"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0" borderId="22" xfId="0" applyFont="1" applyBorder="1" applyAlignment="1">
      <alignment horizontal="center" vertical="center" wrapText="1"/>
    </xf>
    <xf numFmtId="0" fontId="7" fillId="0" borderId="22" xfId="0" applyFont="1" applyBorder="1" applyAlignment="1">
      <alignment horizontal="center" vertical="center"/>
    </xf>
    <xf numFmtId="0" fontId="9" fillId="4" borderId="22" xfId="0" applyFont="1" applyFill="1" applyBorder="1" applyAlignment="1">
      <alignment horizontal="center" vertical="center"/>
    </xf>
    <xf numFmtId="0" fontId="9" fillId="5" borderId="22" xfId="0" applyFont="1" applyFill="1" applyBorder="1" applyAlignment="1">
      <alignment horizontal="center" vertical="center"/>
    </xf>
    <xf numFmtId="0" fontId="9" fillId="17" borderId="22" xfId="0" applyFont="1" applyFill="1" applyBorder="1" applyAlignment="1">
      <alignment horizontal="center" vertical="center"/>
    </xf>
    <xf numFmtId="0" fontId="7" fillId="12" borderId="22" xfId="0" applyFont="1" applyFill="1" applyBorder="1" applyAlignment="1">
      <alignment horizontal="center" vertical="center" wrapText="1"/>
    </xf>
    <xf numFmtId="0" fontId="7" fillId="12" borderId="22" xfId="0" applyFont="1" applyFill="1" applyBorder="1" applyAlignment="1">
      <alignment horizontal="center" vertical="center"/>
    </xf>
    <xf numFmtId="0" fontId="9" fillId="17" borderId="22" xfId="0" applyFont="1" applyFill="1" applyBorder="1" applyAlignment="1">
      <alignment horizontal="center" vertical="center" wrapText="1"/>
    </xf>
    <xf numFmtId="0" fontId="43" fillId="0" borderId="0" xfId="0" applyFont="1" applyAlignment="1">
      <alignment horizontal="center"/>
    </xf>
    <xf numFmtId="0" fontId="9" fillId="17" borderId="1" xfId="0" applyFont="1" applyFill="1" applyBorder="1" applyAlignment="1">
      <alignment horizontal="center" vertical="center"/>
    </xf>
    <xf numFmtId="0" fontId="9" fillId="15"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0"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9" fillId="16" borderId="1" xfId="0" applyFont="1" applyFill="1" applyBorder="1" applyAlignment="1">
      <alignment horizontal="center" vertical="center"/>
    </xf>
    <xf numFmtId="0" fontId="4" fillId="12" borderId="1" xfId="0" applyFont="1" applyFill="1" applyBorder="1" applyAlignment="1">
      <alignment horizontal="center" vertical="center"/>
    </xf>
    <xf numFmtId="0" fontId="2" fillId="8" borderId="0" xfId="16" applyFont="1" applyFill="1" applyAlignment="1">
      <alignment horizontal="left"/>
    </xf>
    <xf numFmtId="0" fontId="32" fillId="21" borderId="0" xfId="8" applyFont="1" applyFill="1" applyAlignment="1">
      <alignment horizontal="center" vertical="center"/>
    </xf>
    <xf numFmtId="0" fontId="42" fillId="19" borderId="0" xfId="0" applyFont="1" applyFill="1" applyAlignment="1">
      <alignment horizontal="center" vertical="center"/>
    </xf>
  </cellXfs>
  <cellStyles count="22">
    <cellStyle name="パーセント" xfId="3" builtinId="5"/>
    <cellStyle name="パーセント 2" xfId="14" xr:uid="{FB60C5EA-3084-4305-83F2-B041E2BC2ED9}"/>
    <cellStyle name="パーセント 3 2" xfId="10" xr:uid="{6B2478A8-9AB5-41EF-9F15-BF2DB36AB562}"/>
    <cellStyle name="ハイパーリンク" xfId="6" builtinId="8"/>
    <cellStyle name="桁区切り" xfId="1" builtinId="6"/>
    <cellStyle name="通貨" xfId="2" builtinId="7"/>
    <cellStyle name="通貨 2" xfId="13" xr:uid="{3FE69CC8-42FA-4A19-8BE1-E50F5A89BE34}"/>
    <cellStyle name="通貨 2 4 2" xfId="9" xr:uid="{A931A450-4AB3-4507-BE89-F9534537974F}"/>
    <cellStyle name="通貨 2 4 2 2" xfId="21" xr:uid="{810F621C-33CB-4FAF-BE01-AB30107CD091}"/>
    <cellStyle name="通貨 3" xfId="17" xr:uid="{BC3E8DB3-3C5B-4CB0-87D8-7394AD3E915D}"/>
    <cellStyle name="標準" xfId="0" builtinId="0"/>
    <cellStyle name="標準 12" xfId="15" xr:uid="{EE864BF3-EF86-4B7A-AC00-D53F33C25F07}"/>
    <cellStyle name="標準 2" xfId="7" xr:uid="{F0B2EAFF-C6FB-4941-A769-B83C902A683B}"/>
    <cellStyle name="標準 2 2" xfId="12" xr:uid="{607A5ED2-35E2-44FB-AAB2-D2F0AD38BCE9}"/>
    <cellStyle name="標準 2 2 2" xfId="5" xr:uid="{24D4415E-7C92-465E-B553-A57316A1BB95}"/>
    <cellStyle name="標準 2 2 3" xfId="20" xr:uid="{C05655E8-E00D-4669-93ED-EAEAD68B2F26}"/>
    <cellStyle name="標準 2 3" xfId="16" xr:uid="{2E36F3BA-A874-48B0-B1B2-CCA27E587CDB}"/>
    <cellStyle name="標準 2 4" xfId="8" xr:uid="{48B6303E-2251-4476-AF54-BFF1F5C01E51}"/>
    <cellStyle name="標準 2 5" xfId="19" xr:uid="{0C9992B4-F299-4E0F-A7E6-CEFF242BB133}"/>
    <cellStyle name="標準 3" xfId="18" xr:uid="{07FAD52D-E623-48F5-8B04-2903C88428E1}"/>
    <cellStyle name="標準 5" xfId="4" xr:uid="{9AFA6B61-FD93-4436-8083-05976B4CB12F}"/>
    <cellStyle name="標準 5 2" xfId="11" xr:uid="{56606FCA-1DDB-4E1C-90FA-8ECD690425CE}"/>
  </cellStyles>
  <dxfs count="18">
    <dxf>
      <font>
        <color theme="0" tint="-0.24994659260841701"/>
      </font>
      <fill>
        <patternFill>
          <bgColor theme="0"/>
        </patternFill>
      </fill>
    </dxf>
    <dxf>
      <font>
        <color theme="0" tint="-0.24994659260841701"/>
      </font>
      <fill>
        <patternFill>
          <bgColor theme="0"/>
        </patternFill>
      </fill>
    </dxf>
    <dxf>
      <fill>
        <patternFill>
          <bgColor theme="0"/>
        </patternFill>
      </fill>
    </dxf>
    <dxf>
      <fill>
        <patternFill>
          <bgColor theme="0"/>
        </patternFill>
      </fill>
    </dxf>
    <dxf>
      <font>
        <color rgb="FF9C0006"/>
      </font>
      <fill>
        <patternFill>
          <bgColor rgb="FFFFC7CE"/>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00FF"/>
      <color rgb="FF99FFCC"/>
      <color rgb="FFCCFFCC"/>
      <color rgb="FFCCFFFF"/>
      <color rgb="FF0000FF"/>
      <color rgb="FF3399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4" Type="http://schemas.openxmlformats.org/officeDocument/2006/relationships/worksheet" Target="worksheets/sheet4.xml"/><Relationship Id="rId14" Type="http://schemas.openxmlformats.org/officeDocument/2006/relationships/sheetMetadata" Target="metadata.xml"/><Relationship Id="extRef1" Type="http://schemas.openxmlformats.org/officeDocument/2006/relationships/externalLink" Target="externalLinks/externalLink1.xml"/><Relationship Id="extRef2" Type="http://schemas.openxmlformats.org/officeDocument/2006/relationships/externalLink" Target="externalLinks/externalLink2.xml"/><Relationship Id="extRef3" Type="http://schemas.openxmlformats.org/officeDocument/2006/relationships/externalLink" Target="externalLinks/externalLink3.xml"/><Relationship Id="extRef4" Type="http://schemas.openxmlformats.org/officeDocument/2006/relationships/externalLink" Target="externalLinks/externalLink4.xml"/><Relationship Id="extRef5" Type="http://schemas.openxmlformats.org/officeDocument/2006/relationships/externalLink" Target="externalLinks/externalLink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680901</xdr:colOff>
      <xdr:row>0</xdr:row>
      <xdr:rowOff>89582</xdr:rowOff>
    </xdr:from>
    <xdr:to>
      <xdr:col>14</xdr:col>
      <xdr:colOff>130629</xdr:colOff>
      <xdr:row>5</xdr:row>
      <xdr:rowOff>130629</xdr:rowOff>
    </xdr:to>
    <xdr:sp macro="" textlink="">
      <xdr:nvSpPr>
        <xdr:cNvPr id="2" name="TitleMaster_LabelInfo">
          <a:extLst>
            <a:ext uri="{FF2B5EF4-FFF2-40B4-BE49-F238E27FC236}">
              <a16:creationId xmlns:a16="http://schemas.microsoft.com/office/drawing/2014/main" id="{D6B37024-1883-494D-89D9-FB1C96E5E6FF}"/>
            </a:ext>
          </a:extLst>
        </xdr:cNvPr>
        <xdr:cNvSpPr>
          <a:spLocks noChangeArrowheads="1"/>
        </xdr:cNvSpPr>
      </xdr:nvSpPr>
      <xdr:spPr bwMode="auto">
        <a:xfrm>
          <a:off x="13539651" y="89582"/>
          <a:ext cx="1678578" cy="860197"/>
        </a:xfrm>
        <a:prstGeom prst="rect">
          <a:avLst/>
        </a:prstGeom>
        <a:noFill/>
        <a:ln w="25400">
          <a:solidFill>
            <a:srgbClr val="00B050"/>
          </a:solidFill>
          <a:headEnd/>
          <a:tailEnd/>
        </a:ln>
      </xdr:spPr>
      <xdr:style>
        <a:lnRef idx="2">
          <a:schemeClr val="dk1"/>
        </a:lnRef>
        <a:fillRef idx="1">
          <a:schemeClr val="lt1"/>
        </a:fillRef>
        <a:effectRef idx="0">
          <a:schemeClr val="dk1"/>
        </a:effectRef>
        <a:fontRef idx="minor">
          <a:schemeClr val="dk1"/>
        </a:fontRef>
      </xdr:style>
      <xdr:txBody>
        <a:bodyPr wrap="square"/>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defRPr/>
          </a:pPr>
          <a:endParaRPr kumimoji="1" lang="ja-JP" altLang="en-US" sz="1800">
            <a:solidFill>
              <a:srgbClr val="333333"/>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534685</xdr:colOff>
      <xdr:row>12</xdr:row>
      <xdr:rowOff>887505</xdr:rowOff>
    </xdr:from>
    <xdr:to>
      <xdr:col>46</xdr:col>
      <xdr:colOff>398290</xdr:colOff>
      <xdr:row>13</xdr:row>
      <xdr:rowOff>134471</xdr:rowOff>
    </xdr:to>
    <xdr:sp macro="" textlink="">
      <xdr:nvSpPr>
        <xdr:cNvPr id="3" name="正方形/長方形 2">
          <a:extLst>
            <a:ext uri="{FF2B5EF4-FFF2-40B4-BE49-F238E27FC236}">
              <a16:creationId xmlns:a16="http://schemas.microsoft.com/office/drawing/2014/main" id="{C295B2B8-6E9F-49E1-8A64-D33BA8758CC5}"/>
            </a:ext>
          </a:extLst>
        </xdr:cNvPr>
        <xdr:cNvSpPr/>
      </xdr:nvSpPr>
      <xdr:spPr>
        <a:xfrm>
          <a:off x="26166460" y="3116355"/>
          <a:ext cx="2816355" cy="790016"/>
        </a:xfrm>
        <a:prstGeom prst="rect">
          <a:avLst/>
        </a:prstGeom>
        <a:solidFill>
          <a:srgbClr val="FF00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定期商品・キャッシュバック「有」の場合</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非表示のセルを表示し、必要情報を記入</a:t>
          </a:r>
        </a:p>
      </xdr:txBody>
    </xdr:sp>
    <xdr:clientData/>
  </xdr:twoCellAnchor>
  <xdr:twoCellAnchor>
    <xdr:from>
      <xdr:col>31</xdr:col>
      <xdr:colOff>32660</xdr:colOff>
      <xdr:row>72</xdr:row>
      <xdr:rowOff>152401</xdr:rowOff>
    </xdr:from>
    <xdr:to>
      <xdr:col>46</xdr:col>
      <xdr:colOff>478971</xdr:colOff>
      <xdr:row>73</xdr:row>
      <xdr:rowOff>609601</xdr:rowOff>
    </xdr:to>
    <xdr:sp macro="" textlink="">
      <xdr:nvSpPr>
        <xdr:cNvPr id="4" name="正方形/長方形 3">
          <a:extLst>
            <a:ext uri="{FF2B5EF4-FFF2-40B4-BE49-F238E27FC236}">
              <a16:creationId xmlns:a16="http://schemas.microsoft.com/office/drawing/2014/main" id="{204CAE3E-8725-48B1-91D3-BD5FD1985371}"/>
            </a:ext>
          </a:extLst>
        </xdr:cNvPr>
        <xdr:cNvSpPr/>
      </xdr:nvSpPr>
      <xdr:spPr>
        <a:xfrm>
          <a:off x="26254985" y="21116926"/>
          <a:ext cx="2808511" cy="723900"/>
        </a:xfrm>
        <a:prstGeom prst="rect">
          <a:avLst/>
        </a:prstGeom>
        <a:solidFill>
          <a:srgbClr val="FF00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定期商品・キャッシュバック「有」の場合</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非表示のセルを表示し、必要情報を記入</a:t>
          </a:r>
        </a:p>
      </xdr:txBody>
    </xdr:sp>
    <xdr:clientData/>
  </xdr:twoCellAnchor>
  <xdr:twoCellAnchor>
    <xdr:from>
      <xdr:col>30</xdr:col>
      <xdr:colOff>576943</xdr:colOff>
      <xdr:row>167</xdr:row>
      <xdr:rowOff>174171</xdr:rowOff>
    </xdr:from>
    <xdr:to>
      <xdr:col>46</xdr:col>
      <xdr:colOff>435425</xdr:colOff>
      <xdr:row>168</xdr:row>
      <xdr:rowOff>631371</xdr:rowOff>
    </xdr:to>
    <xdr:sp macro="" textlink="">
      <xdr:nvSpPr>
        <xdr:cNvPr id="5" name="正方形/長方形 4">
          <a:extLst>
            <a:ext uri="{FF2B5EF4-FFF2-40B4-BE49-F238E27FC236}">
              <a16:creationId xmlns:a16="http://schemas.microsoft.com/office/drawing/2014/main" id="{B526AC11-AE94-4ECF-9659-ECFE61C13D0D}"/>
            </a:ext>
          </a:extLst>
        </xdr:cNvPr>
        <xdr:cNvSpPr/>
      </xdr:nvSpPr>
      <xdr:spPr>
        <a:xfrm>
          <a:off x="26208718" y="48246846"/>
          <a:ext cx="2811232" cy="723900"/>
        </a:xfrm>
        <a:prstGeom prst="rect">
          <a:avLst/>
        </a:prstGeom>
        <a:solidFill>
          <a:srgbClr val="FF00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定期商品・キャッシュバック「有」の場合</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非表示のセルを表示し、必要情報を記入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125505</xdr:colOff>
      <xdr:row>0</xdr:row>
      <xdr:rowOff>116542</xdr:rowOff>
    </xdr:from>
    <xdr:to>
      <xdr:col>12</xdr:col>
      <xdr:colOff>502025</xdr:colOff>
      <xdr:row>8</xdr:row>
      <xdr:rowOff>54428</xdr:rowOff>
    </xdr:to>
    <xdr:sp macro="" textlink="">
      <xdr:nvSpPr>
        <xdr:cNvPr id="2" name="正方形/長方形 1">
          <a:extLst>
            <a:ext uri="{FF2B5EF4-FFF2-40B4-BE49-F238E27FC236}">
              <a16:creationId xmlns:a16="http://schemas.microsoft.com/office/drawing/2014/main" id="{A417036B-45E0-4464-8C61-67F047772725}"/>
            </a:ext>
          </a:extLst>
        </xdr:cNvPr>
        <xdr:cNvSpPr/>
      </xdr:nvSpPr>
      <xdr:spPr>
        <a:xfrm>
          <a:off x="9541648" y="116542"/>
          <a:ext cx="3903491" cy="1734029"/>
        </a:xfrm>
        <a:prstGeom prst="rect">
          <a:avLst/>
        </a:prstGeom>
        <a:solidFill>
          <a:srgbClr val="FF00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a:t>
          </a:r>
          <a:r>
            <a:rPr kumimoji="1" lang="en-US" altLang="ja-JP" sz="1100" b="1">
              <a:latin typeface="Meiryo UI" panose="020B0604030504040204" pitchFamily="50" charset="-128"/>
              <a:ea typeface="Meiryo UI" panose="020B0604030504040204" pitchFamily="50" charset="-128"/>
            </a:rPr>
            <a:t>PM</a:t>
          </a:r>
          <a:r>
            <a:rPr kumimoji="1" lang="ja-JP" altLang="en-US" sz="1100" b="1">
              <a:latin typeface="Meiryo UI" panose="020B0604030504040204" pitchFamily="50" charset="-128"/>
              <a:ea typeface="Meiryo UI" panose="020B0604030504040204" pitchFamily="50" charset="-128"/>
            </a:rPr>
            <a:t>の皆様へ</a:t>
          </a:r>
          <a:endParaRPr kumimoji="1" lang="en-US" altLang="ja-JP" sz="1100" b="1">
            <a:latin typeface="Meiryo UI" panose="020B0604030504040204" pitchFamily="50" charset="-128"/>
            <a:ea typeface="Meiryo UI" panose="020B0604030504040204" pitchFamily="50" charset="-128"/>
          </a:endParaRPr>
        </a:p>
        <a:p>
          <a:pPr algn="l"/>
          <a:r>
            <a:rPr kumimoji="1" lang="en-US" altLang="ja-JP" sz="1100" b="1">
              <a:latin typeface="Meiryo UI" panose="020B0604030504040204" pitchFamily="50" charset="-128"/>
              <a:ea typeface="Meiryo UI" panose="020B0604030504040204" pitchFamily="50" charset="-128"/>
            </a:rPr>
            <a:t>TV</a:t>
          </a:r>
          <a:r>
            <a:rPr kumimoji="1" lang="ja-JP" altLang="en-US" sz="1100" b="1">
              <a:latin typeface="Meiryo UI" panose="020B0604030504040204" pitchFamily="50" charset="-128"/>
              <a:ea typeface="Meiryo UI" panose="020B0604030504040204" pitchFamily="50" charset="-128"/>
            </a:rPr>
            <a:t>用</a:t>
          </a:r>
          <a:r>
            <a:rPr kumimoji="1" lang="en-US" altLang="ja-JP" sz="1100" b="1">
              <a:latin typeface="Meiryo UI" panose="020B0604030504040204" pitchFamily="50" charset="-128"/>
              <a:ea typeface="Meiryo UI" panose="020B0604030504040204" pitchFamily="50" charset="-128"/>
            </a:rPr>
            <a:t>VU</a:t>
          </a:r>
          <a:r>
            <a:rPr kumimoji="1" lang="ja-JP" altLang="en-US" sz="1100" b="1">
              <a:latin typeface="Meiryo UI" panose="020B0604030504040204" pitchFamily="50" charset="-128"/>
              <a:ea typeface="Meiryo UI" panose="020B0604030504040204" pitchFamily="50" charset="-128"/>
            </a:rPr>
            <a:t>設定について、基本的にこのページ記載不要です。</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a:t>
          </a:r>
          <a:r>
            <a:rPr kumimoji="1" lang="en-US" altLang="ja-JP" sz="1100" b="1">
              <a:latin typeface="Meiryo UI" panose="020B0604030504040204" pitchFamily="50" charset="-128"/>
              <a:ea typeface="Meiryo UI" panose="020B0604030504040204" pitchFamily="50" charset="-128"/>
            </a:rPr>
            <a:t>TV</a:t>
          </a:r>
          <a:r>
            <a:rPr kumimoji="1" lang="ja-JP" altLang="en-US" sz="1100" b="1">
              <a:latin typeface="Meiryo UI" panose="020B0604030504040204" pitchFamily="50" charset="-128"/>
              <a:ea typeface="Meiryo UI" panose="020B0604030504040204" pitchFamily="50" charset="-128"/>
            </a:rPr>
            <a:t>専用サイト</a:t>
          </a:r>
          <a:endParaRPr kumimoji="1" lang="en-US" altLang="ja-JP" sz="1100" b="1" baseline="0">
            <a:latin typeface="Meiryo UI" panose="020B0604030504040204" pitchFamily="50" charset="-128"/>
            <a:ea typeface="Meiryo UI" panose="020B0604030504040204" pitchFamily="50" charset="-128"/>
          </a:endParaRPr>
        </a:p>
        <a:p>
          <a:pPr algn="l"/>
          <a:r>
            <a:rPr kumimoji="1" lang="ja-JP" altLang="en-US" sz="1100" b="1" baseline="0">
              <a:latin typeface="Meiryo UI" panose="020B0604030504040204" pitchFamily="50" charset="-128"/>
              <a:ea typeface="Meiryo UI" panose="020B0604030504040204" pitchFamily="50" charset="-128"/>
            </a:rPr>
            <a:t>　・</a:t>
          </a:r>
          <a:r>
            <a:rPr kumimoji="1" lang="ja-JP" altLang="en-US" sz="1100" b="1">
              <a:latin typeface="Meiryo UI" panose="020B0604030504040204" pitchFamily="50" charset="-128"/>
              <a:ea typeface="Meiryo UI" panose="020B0604030504040204" pitchFamily="50" charset="-128"/>
            </a:rPr>
            <a:t> 基本</a:t>
          </a:r>
          <a:r>
            <a:rPr kumimoji="1" lang="en-US" altLang="ja-JP" sz="1100" b="1">
              <a:latin typeface="Meiryo UI" panose="020B0604030504040204" pitchFamily="50" charset="-128"/>
              <a:ea typeface="Meiryo UI" panose="020B0604030504040204" pitchFamily="50" charset="-128"/>
            </a:rPr>
            <a:t>VU</a:t>
          </a:r>
          <a:r>
            <a:rPr kumimoji="1" lang="ja-JP" altLang="en-US" sz="1100" b="1">
              <a:latin typeface="Meiryo UI" panose="020B0604030504040204" pitchFamily="50" charset="-128"/>
              <a:ea typeface="Meiryo UI" panose="020B0604030504040204" pitchFamily="50" charset="-128"/>
            </a:rPr>
            <a:t>価格の紐づけなし（</a:t>
          </a:r>
          <a:r>
            <a:rPr kumimoji="1" lang="en-US" altLang="ja-JP" sz="1100" b="1">
              <a:latin typeface="Meiryo UI" panose="020B0604030504040204" pitchFamily="50" charset="-128"/>
              <a:ea typeface="Meiryo UI" panose="020B0604030504040204" pitchFamily="50" charset="-128"/>
            </a:rPr>
            <a:t>PMM</a:t>
          </a:r>
          <a:r>
            <a:rPr kumimoji="1" lang="ja-JP" altLang="en-US" sz="1100" b="1">
              <a:latin typeface="Meiryo UI" panose="020B0604030504040204" pitchFamily="50" charset="-128"/>
              <a:ea typeface="Meiryo UI" panose="020B0604030504040204" pitchFamily="50" charset="-128"/>
            </a:rPr>
            <a:t>決定事項）</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　・ そのため、関連商品に定価を載せます（</a:t>
          </a:r>
          <a:r>
            <a:rPr kumimoji="1" lang="en-US" altLang="ja-JP" sz="1100" b="1">
              <a:latin typeface="Meiryo UI" panose="020B0604030504040204" pitchFamily="50" charset="-128"/>
              <a:ea typeface="Meiryo UI" panose="020B0604030504040204" pitchFamily="50" charset="-128"/>
            </a:rPr>
            <a:t>VU</a:t>
          </a:r>
          <a:r>
            <a:rPr kumimoji="1" lang="ja-JP" altLang="en-US" sz="1100" b="1">
              <a:latin typeface="Meiryo UI" panose="020B0604030504040204" pitchFamily="50" charset="-128"/>
              <a:ea typeface="Meiryo UI" panose="020B0604030504040204" pitchFamily="50" charset="-128"/>
            </a:rPr>
            <a:t>設定不要）</a:t>
          </a:r>
          <a:endParaRPr kumimoji="1" lang="en-US" altLang="ja-JP" sz="1100" b="1">
            <a:latin typeface="Meiryo UI" panose="020B0604030504040204" pitchFamily="50" charset="-128"/>
            <a:ea typeface="Meiryo UI" panose="020B0604030504040204" pitchFamily="50" charset="-128"/>
          </a:endParaRPr>
        </a:p>
        <a:p>
          <a:pPr algn="l"/>
          <a:r>
            <a:rPr kumimoji="1" lang="en-US" altLang="ja-JP" sz="1100" b="1">
              <a:latin typeface="Meiryo UI" panose="020B0604030504040204" pitchFamily="50" charset="-128"/>
              <a:ea typeface="Meiryo UI" panose="020B0604030504040204" pitchFamily="50" charset="-128"/>
            </a:rPr>
            <a:t>※CC</a:t>
          </a:r>
          <a:r>
            <a:rPr kumimoji="1" lang="ja-JP" altLang="en-US" sz="1100" b="1">
              <a:latin typeface="Meiryo UI" panose="020B0604030504040204" pitchFamily="50" charset="-128"/>
              <a:ea typeface="Meiryo UI" panose="020B0604030504040204" pitchFamily="50" charset="-128"/>
            </a:rPr>
            <a:t>の受注分は、今まで通り</a:t>
          </a:r>
          <a:r>
            <a:rPr kumimoji="1" lang="en-US" altLang="ja-JP" sz="1100" b="1">
              <a:latin typeface="Meiryo UI" panose="020B0604030504040204" pitchFamily="50" charset="-128"/>
              <a:ea typeface="Meiryo UI" panose="020B0604030504040204" pitchFamily="50" charset="-128"/>
            </a:rPr>
            <a:t>CC</a:t>
          </a:r>
          <a:r>
            <a:rPr kumimoji="1" lang="ja-JP" altLang="en-US" sz="1100" b="1">
              <a:latin typeface="Meiryo UI" panose="020B0604030504040204" pitchFamily="50" charset="-128"/>
              <a:ea typeface="Meiryo UI" panose="020B0604030504040204" pitchFamily="50" charset="-128"/>
            </a:rPr>
            <a:t>が対応</a:t>
          </a:r>
          <a:endParaRPr kumimoji="1" lang="en-US" altLang="ja-JP" sz="1100" b="1">
            <a:latin typeface="Meiryo UI" panose="020B0604030504040204" pitchFamily="50" charset="-128"/>
            <a:ea typeface="Meiryo UI" panose="020B0604030504040204" pitchFamily="50" charset="-128"/>
          </a:endParaRPr>
        </a:p>
        <a:p>
          <a:pPr algn="l"/>
          <a:endParaRPr kumimoji="1" lang="ja-JP" altLang="en-US" sz="1100" b="1">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44825</xdr:colOff>
      <xdr:row>3</xdr:row>
      <xdr:rowOff>62754</xdr:rowOff>
    </xdr:from>
    <xdr:to>
      <xdr:col>12</xdr:col>
      <xdr:colOff>233082</xdr:colOff>
      <xdr:row>7</xdr:row>
      <xdr:rowOff>206189</xdr:rowOff>
    </xdr:to>
    <xdr:sp macro="" textlink="">
      <xdr:nvSpPr>
        <xdr:cNvPr id="2" name="正方形/長方形 1">
          <a:extLst>
            <a:ext uri="{FF2B5EF4-FFF2-40B4-BE49-F238E27FC236}">
              <a16:creationId xmlns:a16="http://schemas.microsoft.com/office/drawing/2014/main" id="{E68A897F-53A6-361D-4FFF-E6C66223F126}"/>
            </a:ext>
          </a:extLst>
        </xdr:cNvPr>
        <xdr:cNvSpPr/>
      </xdr:nvSpPr>
      <xdr:spPr>
        <a:xfrm>
          <a:off x="8059272" y="762001"/>
          <a:ext cx="5567081" cy="1075764"/>
        </a:xfrm>
        <a:prstGeom prst="rect">
          <a:avLst/>
        </a:prstGeom>
        <a:solidFill>
          <a:srgbClr val="FF00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latin typeface="Meiryo UI" panose="020B0604030504040204" pitchFamily="50" charset="-128"/>
              <a:ea typeface="Meiryo UI" panose="020B0604030504040204" pitchFamily="50" charset="-128"/>
            </a:rPr>
            <a:t>＞</a:t>
          </a:r>
          <a:r>
            <a:rPr kumimoji="1" lang="en-US" altLang="ja-JP" sz="1100" b="1">
              <a:latin typeface="Meiryo UI" panose="020B0604030504040204" pitchFamily="50" charset="-128"/>
              <a:ea typeface="Meiryo UI" panose="020B0604030504040204" pitchFamily="50" charset="-128"/>
            </a:rPr>
            <a:t>PM</a:t>
          </a:r>
          <a:r>
            <a:rPr kumimoji="1" lang="ja-JP" altLang="en-US" sz="1100" b="1">
              <a:latin typeface="Meiryo UI" panose="020B0604030504040204" pitchFamily="50" charset="-128"/>
              <a:ea typeface="Meiryo UI" panose="020B0604030504040204" pitchFamily="50" charset="-128"/>
            </a:rPr>
            <a:t>の皆様へ</a:t>
          </a:r>
          <a:endParaRPr kumimoji="1" lang="en-US" altLang="ja-JP" sz="1100" b="1">
            <a:latin typeface="Meiryo UI" panose="020B0604030504040204" pitchFamily="50" charset="-128"/>
            <a:ea typeface="Meiryo UI" panose="020B0604030504040204" pitchFamily="50" charset="-128"/>
          </a:endParaRPr>
        </a:p>
        <a:p>
          <a:pPr algn="l"/>
          <a:r>
            <a:rPr kumimoji="1" lang="ja-JP" altLang="en-US" sz="1100" b="1">
              <a:latin typeface="Meiryo UI" panose="020B0604030504040204" pitchFamily="50" charset="-128"/>
              <a:ea typeface="Meiryo UI" panose="020B0604030504040204" pitchFamily="50" charset="-128"/>
            </a:rPr>
            <a:t>オファーリストでアップグレードありを選択された場合このページに情報記載。</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67235</xdr:rowOff>
    </xdr:from>
    <xdr:to>
      <xdr:col>12</xdr:col>
      <xdr:colOff>581873</xdr:colOff>
      <xdr:row>10</xdr:row>
      <xdr:rowOff>119530</xdr:rowOff>
    </xdr:to>
    <xdr:pic>
      <xdr:nvPicPr>
        <xdr:cNvPr id="2" name="図 1">
          <a:extLst>
            <a:ext uri="{FF2B5EF4-FFF2-40B4-BE49-F238E27FC236}">
              <a16:creationId xmlns:a16="http://schemas.microsoft.com/office/drawing/2014/main" id="{12A07760-5F32-45E1-9C5D-86431597C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0411"/>
          <a:ext cx="8470814" cy="1905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605118</xdr:colOff>
      <xdr:row>1</xdr:row>
      <xdr:rowOff>194235</xdr:rowOff>
    </xdr:from>
    <xdr:to>
      <xdr:col>10</xdr:col>
      <xdr:colOff>463176</xdr:colOff>
      <xdr:row>10</xdr:row>
      <xdr:rowOff>209176</xdr:rowOff>
    </xdr:to>
    <xdr:sp macro="" textlink="">
      <xdr:nvSpPr>
        <xdr:cNvPr id="3" name="正方形/長方形 2">
          <a:extLst>
            <a:ext uri="{FF2B5EF4-FFF2-40B4-BE49-F238E27FC236}">
              <a16:creationId xmlns:a16="http://schemas.microsoft.com/office/drawing/2014/main" id="{25106584-6712-47DB-A166-F9A99365B4A4}"/>
            </a:ext>
          </a:extLst>
        </xdr:cNvPr>
        <xdr:cNvSpPr/>
      </xdr:nvSpPr>
      <xdr:spPr>
        <a:xfrm>
          <a:off x="6521824" y="425823"/>
          <a:ext cx="515470" cy="2099235"/>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rv\\Shared\\Projects\\0000_0027_&#12502;&#12521;&#12531;&#12489;KFM\\&#36009;&#22770;&#37096;&#38272;Nippo!\\&#36009;&#22770;&#37096;&#38272;Nippo!&#12304;&#30528;&#22320;&#35211;&#36796;&#12305;201307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aklawn\\&#21830;&#21697;&#37096;\\&#36092;&#36023;\\&#30330;&#27880;&#25215;&#35469;&#20381;&#38972;&#26360;200511&#12424;&#12426;\\&#30330;&#27880;&#25215;&#35469;&#20381;&#38972;&#2636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lesrv\\Shared\\Projects\\1303_0008_&#12491;&#12517;&#12540;&#12513;&#12487;&#12451;&#12450;\\IW&#20849;&#26377;\\Print%20Media\\&#9679;&#26696;&#20214;&#19968;&#35239;&#65288;FY2012&#19979;&#26399;&#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208_0001_&#12452;&#12531;&#12479;&#12540;&#12493;&#12483;&#12488;&#20849;&#26377;/&#12304;Project&#12305;KUROSHIO_SECRET_C/KUROSHIO&#24460;&#12398;&#20381;&#38972;/&#12510;&#12473;&#12479;/EX0054_&#22312;&#24235;&#349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vdw03jpawscv\\Data\\SKU\\SKU&#24773;&#22577;&#36861;&#21152;&#20837;&#2114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7月"/>
      <sheetName val="8月"/>
      <sheetName val="9月"/>
      <sheetName val="比較対象1"/>
      <sheetName val="比較対象2"/>
      <sheetName val="比較対象3"/>
      <sheetName val="変更理由"/>
      <sheetName val="当月MTD"/>
      <sheetName val="収集値"/>
      <sheetName val="自動化対象部署"/>
      <sheetName val="項目一覧"/>
      <sheetName val="入力規制"/>
      <sheetName val="小分類表"/>
      <sheetName val="Sheet1"/>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Format (2)"/>
      <sheetName val="May.29 (2)"/>
      <sheetName val="May.29"/>
      <sheetName val="May.15(2)"/>
      <sheetName val="May.15"/>
      <sheetName val="May.1(2)"/>
      <sheetName val="May.1"/>
      <sheetName val="Apr.17"/>
      <sheetName val="Apr.17 (2)"/>
      <sheetName val="Apr.17 (3)"/>
      <sheetName val="Apr. 3 (2)"/>
      <sheetName val="Apr. 3"/>
      <sheetName val="Mar. 20 (2)"/>
      <sheetName val="Mar. 20"/>
      <sheetName val="Mar.6（3）"/>
      <sheetName val="Mar. 6 (2)"/>
      <sheetName val="Mar. 6"/>
      <sheetName val="Feb. 6"/>
      <sheetName val="Jan. 23"/>
      <sheetName val="Jan.10"/>
      <sheetName val="Dec. 26"/>
      <sheetName val="Dec. 12"/>
      <sheetName val="Nov.28 (2)"/>
      <sheetName val="Nov.28"/>
      <sheetName val="Nov.21"/>
      <sheetName val="Nov. 14-2　pending中"/>
      <sheetName val="Nov. 14"/>
      <sheetName val="Nov.14"/>
      <sheetName val="Nov.7-2"/>
      <sheetName val="Nov.7-1"/>
      <sheetName val="code"/>
      <sheetName val="New_Format_(2)"/>
      <sheetName val="May_29_(2)"/>
      <sheetName val="May_29"/>
      <sheetName val="May_15(2)"/>
      <sheetName val="May_15"/>
      <sheetName val="May_1(2)"/>
      <sheetName val="May_1"/>
      <sheetName val="Apr_17"/>
      <sheetName val="Apr_17_(2)"/>
      <sheetName val="Apr_17_(3)"/>
      <sheetName val="Apr__3_(2)"/>
      <sheetName val="Apr__3"/>
      <sheetName val="Mar__20_(2)"/>
      <sheetName val="Mar__20"/>
      <sheetName val="Mar_6（3）"/>
      <sheetName val="Mar__6_(2)"/>
      <sheetName val="Mar__6"/>
      <sheetName val="Feb__6"/>
      <sheetName val="Jan__23"/>
      <sheetName val="Jan_10"/>
      <sheetName val="Dec__26"/>
      <sheetName val="Dec__12"/>
      <sheetName val="Nov_28_(2)"/>
      <sheetName val="Nov_28"/>
      <sheetName val="Nov_21"/>
      <sheetName val="Nov__14-2　pending中"/>
      <sheetName val="Nov__14"/>
      <sheetName val="Nov_14"/>
      <sheetName val="Nov_7-2"/>
      <sheetName val="Nov_7-1"/>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ピボット"/>
      <sheetName val="案件一覧"/>
      <sheetName val="リスト"/>
      <sheetName val="デバイス"/>
      <sheetName val="案件数確認"/>
      <sheetName val="Ishida"/>
      <sheetName val="進捗Ishida"/>
      <sheetName val="宮崎"/>
      <sheetName val="年末年始テスト"/>
      <sheetName val="●案件一覧（FY2012下期）"/>
      <sheetName val="ピボット (2)"/>
      <sheetName val="MOP送料無料"/>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0054_在庫表"/>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シート"/>
      <sheetName val="Lookup"/>
      <sheetName val="最新SKU一覧"/>
    </sheetNames>
  </externalBook>
</externalLink>
</file>

<file path=xl/persons/person.xml><?xml version="1.0" encoding="utf-8"?>
<personList xmlns="http://schemas.microsoft.com/office/spreadsheetml/2018/threadedcomments" xmlns:x="http://schemas.openxmlformats.org/spreadsheetml/2006/main">
  <person displayName="Kaoru Mizuno" id="{08168732-84C0-43B9-9E07-A154D8136744}" userId="S::kaoru_mizuno@oaklawn.co.jp::ae7a9e95-e8ea-4f7a-8989-15242a81c31a"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1-06-03T06:58:24.62" personId="{08168732-84C0-43B9-9E07-A154D8136744}" id="{7FD4F7EF-F0C1-489E-A90F-2CDF8F8C5840}">
    <text>ベース商品コード施策名と同じにしてください</text>
  </threadedComment>
  <threadedComment ref="B14" dT="2021-06-03T06:58:54.53" personId="{08168732-84C0-43B9-9E07-A154D8136744}" id="{D95B1BDA-AC1D-488B-8807-672A64A6DC4C}">
    <text>半角英数字必須</text>
  </threadedComment>
  <threadedComment ref="E14" dT="2021-06-03T06:59:14.44" personId="{08168732-84C0-43B9-9E07-A154D8136744}" id="{1D1E2780-9432-4E51-AEB7-ABA534330BA5}">
    <text>半角英数字必須</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Channel%20Promotion&#12304;C&#12305;/06_Merchandising%20meeting/&#12467;&#12531;&#12459;&#12540;&#25215;&#35469;&#32773;&#19968;&#35239;/20230313_Concur&#25215;&#35469;&#32773;&#19968;&#35239;.xlsx" TargetMode="External"/><Relationship Id="rId1" Type="http://schemas.openxmlformats.org/officeDocument/2006/relationships/hyperlink" Target="file:///\\svdw03jpawscv\Data\SKU\SKU&#24773;&#22577;&#36861;&#21152;&#20837;&#21147;.xlsx"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6D90A1A1-D1D8-48B6-A204-18B087C032CE}">
  <sheetPr>
    <tabColor rgb="FFFF0000"/>
  </sheetPr>
  <dimension ref="A1:AW74"/>
  <sheetViews>
    <sheetView showGridLines="0" tabSelected="1" zoomScale="70" zoomScaleNormal="70" workbookViewId="0">
      <selection activeCell="X8" sqref="W8:X8"/>
    </sheetView>
  </sheetViews>
  <sheetFormatPr defaultColWidth="9" defaultRowHeight="21.6" customHeight="1" outlineLevelRow="1" outlineLevelCol="1"/>
  <cols>
    <col min="1" max="2" width="4.75" style="2" customWidth="1"/>
    <col min="3" max="3" width="17" style="2" customWidth="1"/>
    <col min="4" max="4" width="12.75" style="10" customWidth="1"/>
    <col min="5" max="5" width="46.75" style="10" customWidth="1"/>
    <col min="6" max="6" width="9.75" style="2" customWidth="1"/>
    <col min="7" max="7" width="34.875" style="2" customWidth="1"/>
    <col min="8" max="8" width="8.5" style="11" customWidth="1"/>
    <col min="9" max="9" width="9.75" style="12" customWidth="1"/>
    <col min="10" max="10" width="9.75" style="13" customWidth="1"/>
    <col min="11" max="11" width="10.125" style="12" customWidth="1"/>
    <col min="12" max="12" width="9.75" style="13" customWidth="1"/>
    <col min="13" max="13" width="9.75" style="3" customWidth="1"/>
    <col min="14" max="16" width="9.75" style="2" customWidth="1"/>
    <col min="17" max="17" width="9.25" style="202" customWidth="1"/>
    <col min="18" max="18" width="8" style="3" customWidth="1"/>
    <col min="19" max="19" width="8" style="2" customWidth="1"/>
    <col min="20" max="20" width="9.25" style="202" customWidth="1"/>
    <col min="21" max="21" width="8" style="3" customWidth="1"/>
    <col min="22" max="22" width="8" style="2" customWidth="1"/>
    <col min="23" max="24" width="7.75" style="2" customWidth="1"/>
    <col min="25" max="25" width="10" style="2" customWidth="1"/>
    <col min="26" max="26" width="7.75" style="2" customWidth="1"/>
    <col min="27" max="27" width="10" style="12" customWidth="1"/>
    <col min="28" max="28" width="9.625" style="2" bestFit="1" customWidth="1"/>
    <col min="29" max="31" width="7.75" style="2" customWidth="1"/>
    <col min="32" max="32" width="10.125" style="2" customWidth="1"/>
    <col min="33" max="39" width="7.75" style="2" hidden="1" customWidth="1" outlineLevel="1"/>
    <col min="40" max="40" width="10.125" style="2" customWidth="1" collapsed="1"/>
    <col min="41" max="45" width="7.75" style="2" hidden="1" customWidth="1" outlineLevel="1"/>
    <col min="46" max="46" width="10.75" style="2" customWidth="1" collapsed="1"/>
    <col min="47" max="49" width="10.75" style="2" customWidth="1"/>
    <col min="50" max="50" width="6.125" style="2" customWidth="1"/>
    <col min="51" max="51" width="8.25" style="2" customWidth="1"/>
    <col min="52" max="16384" width="9" style="2"/>
  </cols>
  <sheetData>
    <row r="1" spans="1:49" s="11" customFormat="1" ht="12">
      <c r="C1" s="11" t="s">
        <v>139</v>
      </c>
      <c r="E1" s="56"/>
      <c r="F1" s="56" t="s">
        <v>51</v>
      </c>
      <c r="J1" s="57"/>
      <c r="K1" s="57"/>
      <c r="Q1" s="196"/>
      <c r="R1" s="57"/>
      <c r="T1" s="196"/>
      <c r="V1" s="57"/>
    </row>
    <row r="2" spans="1:49" s="11" customFormat="1" ht="12">
      <c r="A2" s="56"/>
      <c r="C2" s="222" t="s">
        <v>52</v>
      </c>
      <c r="D2" s="222"/>
      <c r="E2" s="56"/>
      <c r="F2" s="223" t="s">
        <v>78</v>
      </c>
      <c r="G2" s="223"/>
      <c r="J2" s="57"/>
      <c r="K2" s="57"/>
      <c r="M2" s="58" t="s">
        <v>54</v>
      </c>
      <c r="Q2" s="196"/>
      <c r="R2" s="57"/>
      <c r="T2" s="196"/>
      <c r="V2" s="57"/>
      <c r="Z2" s="94"/>
      <c r="AD2" s="92"/>
      <c r="AM2" s="92"/>
    </row>
    <row r="3" spans="1:49" s="11" customFormat="1" ht="12">
      <c r="C3" s="224" t="s">
        <v>55</v>
      </c>
      <c r="D3" s="224"/>
      <c r="E3" s="56"/>
      <c r="F3" s="59"/>
      <c r="G3" s="60" t="s">
        <v>56</v>
      </c>
      <c r="J3" s="57"/>
      <c r="K3" s="57"/>
      <c r="M3" s="11" t="s">
        <v>57</v>
      </c>
      <c r="N3" s="11" t="s">
        <v>58</v>
      </c>
      <c r="Q3" s="196"/>
      <c r="R3" s="57"/>
      <c r="T3" s="196"/>
      <c r="V3" s="57"/>
      <c r="AD3" s="92"/>
      <c r="AM3" s="92"/>
    </row>
    <row r="4" spans="1:49" s="11" customFormat="1" ht="12">
      <c r="C4" s="2"/>
      <c r="D4" s="2"/>
      <c r="E4" s="2"/>
      <c r="F4" s="61"/>
      <c r="G4" s="60" t="s">
        <v>59</v>
      </c>
      <c r="J4" s="57"/>
      <c r="K4" s="57"/>
      <c r="M4" s="62" t="s">
        <v>60</v>
      </c>
      <c r="N4" s="63">
        <f>D5</f>
        <v>0</v>
      </c>
      <c r="O4" s="68" t="s">
        <v>107</v>
      </c>
      <c r="Q4" s="196"/>
      <c r="T4" s="196"/>
      <c r="V4" s="57"/>
      <c r="AD4" s="92"/>
      <c r="AM4" s="92"/>
    </row>
    <row r="5" spans="1:49" s="11" customFormat="1" ht="16.899999999999999" customHeight="1">
      <c r="C5" s="64" t="s">
        <v>60</v>
      </c>
      <c r="D5" s="65"/>
      <c r="E5" s="2"/>
      <c r="F5" s="60"/>
      <c r="G5" s="60" t="s">
        <v>61</v>
      </c>
      <c r="J5" s="57"/>
      <c r="K5" s="57"/>
      <c r="M5" s="11" t="s">
        <v>62</v>
      </c>
      <c r="N5" s="11" t="s">
        <v>63</v>
      </c>
      <c r="Q5" s="196"/>
      <c r="T5" s="196"/>
      <c r="V5" s="57"/>
      <c r="AD5" s="92"/>
      <c r="AM5" s="92"/>
    </row>
    <row r="6" spans="1:49" s="11" customFormat="1" ht="16.899999999999999" customHeight="1">
      <c r="C6" s="64" t="s">
        <v>64</v>
      </c>
      <c r="D6" s="66"/>
      <c r="E6" s="56"/>
      <c r="J6" s="57"/>
      <c r="K6" s="57"/>
      <c r="M6" s="57"/>
      <c r="Q6" s="196"/>
      <c r="T6" s="196"/>
      <c r="V6" s="57"/>
      <c r="AD6" s="92"/>
      <c r="AM6" s="92"/>
    </row>
    <row r="7" spans="1:49" s="11" customFormat="1" ht="12">
      <c r="C7" s="64" t="s">
        <v>66</v>
      </c>
      <c r="D7" s="66"/>
      <c r="E7" s="56"/>
      <c r="F7" s="223" t="s">
        <v>65</v>
      </c>
      <c r="G7" s="223"/>
      <c r="J7" s="57"/>
      <c r="K7" s="57"/>
      <c r="Q7" s="196"/>
      <c r="T7" s="196"/>
      <c r="V7" s="57"/>
      <c r="AD7" s="92"/>
      <c r="AM7" s="92"/>
    </row>
    <row r="8" spans="1:49" s="11" customFormat="1" ht="24">
      <c r="C8" s="70" t="s">
        <v>109</v>
      </c>
      <c r="D8" s="65"/>
      <c r="E8" s="56"/>
      <c r="F8" s="60" t="s">
        <v>67</v>
      </c>
      <c r="G8" s="66"/>
      <c r="J8" s="57"/>
      <c r="K8" s="57"/>
      <c r="Q8" s="196"/>
      <c r="T8" s="196"/>
      <c r="V8" s="57"/>
      <c r="AD8" s="92"/>
    </row>
    <row r="9" spans="1:49" s="11" customFormat="1" ht="16.899999999999999" customHeight="1">
      <c r="A9" s="67" t="s">
        <v>68</v>
      </c>
      <c r="C9" s="64" t="s">
        <v>70</v>
      </c>
      <c r="D9" s="65"/>
      <c r="E9" s="75" t="s">
        <v>106</v>
      </c>
      <c r="F9" s="60" t="s">
        <v>69</v>
      </c>
      <c r="G9" s="66"/>
      <c r="K9" s="57"/>
      <c r="Q9" s="197"/>
      <c r="T9" s="196"/>
      <c r="V9" s="57"/>
      <c r="AD9" s="92"/>
    </row>
    <row r="10" spans="1:49" s="11" customFormat="1" ht="12">
      <c r="C10" s="64" t="s">
        <v>71</v>
      </c>
      <c r="D10" s="59"/>
      <c r="E10" s="56"/>
      <c r="F10" s="68" t="s">
        <v>79</v>
      </c>
      <c r="Q10" s="197"/>
      <c r="T10" s="196"/>
      <c r="AD10" s="92"/>
    </row>
    <row r="11" spans="1:49" s="11" customFormat="1" ht="18.600000000000001" customHeight="1">
      <c r="B11" s="57"/>
      <c r="E11" s="91" t="s">
        <v>72</v>
      </c>
      <c r="H11" s="69"/>
      <c r="K11" s="57"/>
      <c r="Q11" s="196"/>
      <c r="T11" s="196"/>
      <c r="V11" s="57"/>
      <c r="AD11" s="92"/>
    </row>
    <row r="12" spans="1:49" s="11" customFormat="1" ht="12">
      <c r="C12" s="72" t="s">
        <v>53</v>
      </c>
      <c r="D12" s="217" t="s">
        <v>73</v>
      </c>
      <c r="E12" s="217"/>
      <c r="F12" s="217"/>
      <c r="G12" s="72" t="s">
        <v>88</v>
      </c>
      <c r="H12" s="217" t="s">
        <v>99</v>
      </c>
      <c r="I12" s="217"/>
      <c r="J12" s="217"/>
      <c r="K12" s="217" t="s">
        <v>100</v>
      </c>
      <c r="L12" s="217"/>
      <c r="M12" s="217"/>
      <c r="N12" s="218" t="s">
        <v>98</v>
      </c>
      <c r="O12" s="218"/>
      <c r="Q12" s="196"/>
      <c r="T12" s="196"/>
      <c r="V12" s="57"/>
      <c r="AD12" s="92"/>
    </row>
    <row r="13" spans="1:49" s="11" customFormat="1" ht="121.5" customHeight="1">
      <c r="C13" s="73"/>
      <c r="D13" s="219"/>
      <c r="E13" s="219"/>
      <c r="F13" s="219"/>
      <c r="G13" s="207"/>
      <c r="H13" s="219"/>
      <c r="I13" s="219"/>
      <c r="J13" s="219"/>
      <c r="K13" s="220"/>
      <c r="L13" s="220"/>
      <c r="M13" s="220"/>
      <c r="N13" s="221"/>
      <c r="O13" s="221"/>
      <c r="Q13" s="196"/>
      <c r="T13" s="196"/>
      <c r="V13" s="57"/>
    </row>
    <row r="14" spans="1:49" s="11" customFormat="1" ht="17.649999999999999" customHeight="1">
      <c r="K14" s="57"/>
      <c r="Q14" s="196"/>
      <c r="T14" s="196"/>
      <c r="V14" s="57"/>
    </row>
    <row r="15" spans="1:49" s="11" customFormat="1" ht="55.15" customHeight="1">
      <c r="B15" s="71" t="s">
        <v>74</v>
      </c>
      <c r="K15" s="57"/>
      <c r="O15" s="216"/>
      <c r="P15" s="216"/>
      <c r="Q15" s="196"/>
      <c r="T15" s="196"/>
      <c r="V15" s="57"/>
    </row>
    <row r="16" spans="1:49" s="11" customFormat="1" ht="21.6" customHeight="1">
      <c r="A16" s="55"/>
      <c r="B16" s="55"/>
      <c r="C16" s="52" t="s">
        <v>1</v>
      </c>
      <c r="D16" s="55"/>
      <c r="E16" s="55"/>
      <c r="F16" s="52" t="s">
        <v>1</v>
      </c>
      <c r="G16" s="53" t="s">
        <v>0</v>
      </c>
      <c r="H16" s="52" t="s">
        <v>1</v>
      </c>
      <c r="I16" s="53" t="s">
        <v>0</v>
      </c>
      <c r="J16" s="53" t="s">
        <v>0</v>
      </c>
      <c r="K16" s="53" t="s">
        <v>0</v>
      </c>
      <c r="L16" s="53" t="s">
        <v>0</v>
      </c>
      <c r="M16" s="53" t="s">
        <v>0</v>
      </c>
      <c r="N16" s="52" t="s">
        <v>1</v>
      </c>
      <c r="O16" s="53" t="s">
        <v>0</v>
      </c>
      <c r="P16" s="52" t="s">
        <v>1</v>
      </c>
      <c r="Q16" s="198" t="s">
        <v>0</v>
      </c>
      <c r="R16" s="53" t="s">
        <v>0</v>
      </c>
      <c r="S16" s="53" t="s">
        <v>0</v>
      </c>
      <c r="T16" s="198" t="s">
        <v>0</v>
      </c>
      <c r="U16" s="53" t="s">
        <v>0</v>
      </c>
      <c r="V16" s="53" t="s">
        <v>0</v>
      </c>
      <c r="W16" s="53" t="s">
        <v>0</v>
      </c>
      <c r="X16" s="52" t="s">
        <v>1</v>
      </c>
      <c r="Y16" s="54" t="s">
        <v>2</v>
      </c>
      <c r="Z16" s="54" t="s">
        <v>2</v>
      </c>
      <c r="AA16" s="54" t="s">
        <v>2</v>
      </c>
      <c r="AB16" s="54" t="s">
        <v>2</v>
      </c>
      <c r="AC16" s="54" t="s">
        <v>2</v>
      </c>
      <c r="AD16" s="54" t="s">
        <v>2</v>
      </c>
      <c r="AE16" s="54" t="s">
        <v>2</v>
      </c>
      <c r="AF16" s="54" t="s">
        <v>3</v>
      </c>
      <c r="AG16" s="54" t="s">
        <v>2</v>
      </c>
      <c r="AH16" s="52" t="s">
        <v>1</v>
      </c>
      <c r="AI16" s="54" t="s">
        <v>2</v>
      </c>
      <c r="AJ16" s="52" t="s">
        <v>1</v>
      </c>
      <c r="AK16" s="52" t="s">
        <v>1</v>
      </c>
      <c r="AL16" s="52" t="s">
        <v>1</v>
      </c>
      <c r="AM16" s="52" t="s">
        <v>1</v>
      </c>
      <c r="AN16" s="54" t="s">
        <v>2</v>
      </c>
      <c r="AO16" s="54" t="s">
        <v>2</v>
      </c>
      <c r="AP16" s="52" t="s">
        <v>1</v>
      </c>
      <c r="AQ16" s="52" t="s">
        <v>1</v>
      </c>
      <c r="AR16" s="54" t="s">
        <v>2</v>
      </c>
      <c r="AS16" s="52" t="s">
        <v>1</v>
      </c>
      <c r="AT16" s="54" t="s">
        <v>2</v>
      </c>
      <c r="AU16" s="52" t="s">
        <v>1</v>
      </c>
      <c r="AV16" s="52" t="s">
        <v>1</v>
      </c>
      <c r="AW16" s="52" t="s">
        <v>1</v>
      </c>
    </row>
    <row r="17" spans="1:49" ht="29.25" thickBot="1">
      <c r="B17" s="1"/>
      <c r="C17" s="1"/>
      <c r="D17" s="1"/>
      <c r="E17" s="1"/>
      <c r="H17" s="2"/>
      <c r="I17" s="208" t="s">
        <v>4</v>
      </c>
      <c r="J17" s="209"/>
      <c r="K17" s="208" t="s">
        <v>5</v>
      </c>
      <c r="L17" s="209"/>
      <c r="M17" s="208" t="s">
        <v>47</v>
      </c>
      <c r="N17" s="209"/>
      <c r="O17" s="209" t="s">
        <v>108</v>
      </c>
      <c r="P17" s="209"/>
      <c r="Q17" s="213" t="s">
        <v>118</v>
      </c>
      <c r="R17" s="214"/>
      <c r="S17" s="214"/>
      <c r="T17" s="213" t="s">
        <v>119</v>
      </c>
      <c r="U17" s="214"/>
      <c r="V17" s="214"/>
      <c r="W17" s="208" t="s">
        <v>6</v>
      </c>
      <c r="X17" s="209"/>
      <c r="Y17" s="208" t="s">
        <v>7</v>
      </c>
      <c r="Z17" s="209"/>
      <c r="AA17" s="209" t="s">
        <v>8</v>
      </c>
      <c r="AB17" s="209"/>
      <c r="AC17" s="209"/>
      <c r="AD17" s="209"/>
      <c r="AE17" s="209"/>
      <c r="AF17" s="210" t="s">
        <v>9</v>
      </c>
      <c r="AG17" s="210"/>
      <c r="AH17" s="210"/>
      <c r="AI17" s="210"/>
      <c r="AJ17" s="210"/>
      <c r="AK17" s="210"/>
      <c r="AL17" s="210"/>
      <c r="AM17" s="210"/>
      <c r="AN17" s="211" t="s">
        <v>10</v>
      </c>
      <c r="AO17" s="211"/>
      <c r="AP17" s="211"/>
      <c r="AQ17" s="211"/>
      <c r="AR17" s="211"/>
      <c r="AS17" s="211"/>
      <c r="AT17" s="215" t="s">
        <v>138</v>
      </c>
      <c r="AU17" s="212"/>
      <c r="AV17" s="212"/>
      <c r="AW17" s="212"/>
    </row>
    <row r="18" spans="1:49" ht="48">
      <c r="A18" s="129" t="s">
        <v>11</v>
      </c>
      <c r="B18" s="130" t="s">
        <v>12</v>
      </c>
      <c r="C18" s="131" t="s">
        <v>13</v>
      </c>
      <c r="D18" s="132" t="s">
        <v>48</v>
      </c>
      <c r="E18" s="204" t="s">
        <v>140</v>
      </c>
      <c r="F18" s="133" t="s">
        <v>14</v>
      </c>
      <c r="G18" s="134" t="s">
        <v>77</v>
      </c>
      <c r="H18" s="133" t="s">
        <v>15</v>
      </c>
      <c r="I18" s="135" t="s">
        <v>16</v>
      </c>
      <c r="J18" s="136" t="s">
        <v>17</v>
      </c>
      <c r="K18" s="135" t="s">
        <v>16</v>
      </c>
      <c r="L18" s="136" t="s">
        <v>17</v>
      </c>
      <c r="M18" s="137" t="s">
        <v>16</v>
      </c>
      <c r="N18" s="138" t="s">
        <v>50</v>
      </c>
      <c r="O18" s="137" t="s">
        <v>16</v>
      </c>
      <c r="P18" s="138" t="s">
        <v>50</v>
      </c>
      <c r="Q18" s="199" t="s">
        <v>18</v>
      </c>
      <c r="R18" s="139" t="s">
        <v>19</v>
      </c>
      <c r="S18" s="140" t="s">
        <v>20</v>
      </c>
      <c r="T18" s="199" t="s">
        <v>18</v>
      </c>
      <c r="U18" s="139" t="s">
        <v>19</v>
      </c>
      <c r="V18" s="140" t="s">
        <v>20</v>
      </c>
      <c r="W18" s="137" t="s">
        <v>16</v>
      </c>
      <c r="X18" s="138" t="s">
        <v>50</v>
      </c>
      <c r="Y18" s="141" t="s">
        <v>21</v>
      </c>
      <c r="Z18" s="138" t="s">
        <v>22</v>
      </c>
      <c r="AA18" s="133" t="s">
        <v>23</v>
      </c>
      <c r="AB18" s="142" t="s">
        <v>24</v>
      </c>
      <c r="AC18" s="143" t="s">
        <v>92</v>
      </c>
      <c r="AD18" s="143" t="s">
        <v>90</v>
      </c>
      <c r="AE18" s="143" t="s">
        <v>91</v>
      </c>
      <c r="AF18" s="141" t="s">
        <v>25</v>
      </c>
      <c r="AG18" s="157" t="s">
        <v>26</v>
      </c>
      <c r="AH18" s="157" t="s">
        <v>27</v>
      </c>
      <c r="AI18" s="157" t="s">
        <v>28</v>
      </c>
      <c r="AJ18" s="157" t="s">
        <v>29</v>
      </c>
      <c r="AK18" s="157" t="s">
        <v>30</v>
      </c>
      <c r="AL18" s="157" t="s">
        <v>31</v>
      </c>
      <c r="AM18" s="158" t="s">
        <v>80</v>
      </c>
      <c r="AN18" s="169" t="s">
        <v>120</v>
      </c>
      <c r="AO18" s="157" t="s">
        <v>32</v>
      </c>
      <c r="AP18" s="157" t="s">
        <v>33</v>
      </c>
      <c r="AQ18" s="157" t="s">
        <v>34</v>
      </c>
      <c r="AR18" s="157" t="s">
        <v>35</v>
      </c>
      <c r="AS18" s="158" t="s">
        <v>36</v>
      </c>
      <c r="AT18" s="150" t="s">
        <v>93</v>
      </c>
      <c r="AU18" s="151" t="s">
        <v>94</v>
      </c>
      <c r="AV18" s="151" t="s">
        <v>95</v>
      </c>
      <c r="AW18" s="152" t="s">
        <v>96</v>
      </c>
    </row>
    <row r="19" spans="1:49" ht="29.65" customHeight="1">
      <c r="A19" s="8">
        <f>LENB(D19)</f>
        <v>0</v>
      </c>
      <c r="B19" s="8">
        <f>LENB(E19)</f>
        <v>0</v>
      </c>
      <c r="C19" s="46"/>
      <c r="D19" s="47"/>
      <c r="E19" s="205"/>
      <c r="F19" s="15"/>
      <c r="G19" s="14"/>
      <c r="H19" s="15"/>
      <c r="I19" s="20"/>
      <c r="J19" s="21"/>
      <c r="K19" s="44">
        <f>SUM(K20:K27)</f>
        <v>0</v>
      </c>
      <c r="L19" s="45">
        <f>SUM(L20:L27)</f>
        <v>0</v>
      </c>
      <c r="M19" s="105">
        <f>ROUNDUP(N19/1.1,0)</f>
        <v>0</v>
      </c>
      <c r="N19" s="51"/>
      <c r="O19" s="105">
        <f>ROUNDUP(P19/1.1,0)</f>
        <v>0</v>
      </c>
      <c r="P19" s="51"/>
      <c r="Q19" s="201" t="e">
        <f>1-(N19/L19)</f>
        <v>#DIV/0!</v>
      </c>
      <c r="R19" s="120">
        <f>K19-M19</f>
        <v>0</v>
      </c>
      <c r="S19" s="121">
        <f>L19-N19</f>
        <v>0</v>
      </c>
      <c r="T19" s="200" t="e">
        <f>1-(P19/N19)</f>
        <v>#DIV/0!</v>
      </c>
      <c r="U19" s="122">
        <f>M19-O19</f>
        <v>0</v>
      </c>
      <c r="V19" s="123">
        <f>N19-P19</f>
        <v>0</v>
      </c>
      <c r="W19" s="105">
        <f>ROUNDUP(X19/1.1,0)</f>
        <v>0</v>
      </c>
      <c r="X19" s="51"/>
      <c r="Y19" s="145"/>
      <c r="Z19" s="74"/>
      <c r="AA19" s="146"/>
      <c r="AB19" s="118"/>
      <c r="AC19" s="93"/>
      <c r="AD19" s="93"/>
      <c r="AE19" s="93"/>
      <c r="AF19" s="154"/>
      <c r="AG19" s="159"/>
      <c r="AH19" s="159"/>
      <c r="AI19" s="159"/>
      <c r="AJ19" s="160"/>
      <c r="AK19" s="159"/>
      <c r="AL19" s="159"/>
      <c r="AM19" s="161"/>
      <c r="AN19" s="154"/>
      <c r="AO19" s="159"/>
      <c r="AP19" s="159"/>
      <c r="AQ19" s="160"/>
      <c r="AR19" s="159"/>
      <c r="AS19" s="170"/>
      <c r="AT19" s="154"/>
      <c r="AU19" s="153"/>
      <c r="AV19" s="153"/>
      <c r="AW19" s="74"/>
    </row>
    <row r="20" spans="1:49" ht="21.6" customHeight="1" outlineLevel="1">
      <c r="A20" s="24"/>
      <c r="B20" s="24"/>
      <c r="C20" s="25"/>
      <c r="D20" s="26"/>
      <c r="E20" s="27"/>
      <c r="F20" s="48"/>
      <c r="G20" s="4" t="str">
        <f>IFERROR(VLOOKUP(F20,[4]EX0054_在庫表!$A:$B,2,FALSE),"")</f>
      </c>
      <c r="H20" s="50"/>
      <c r="I20" s="36">
        <f>IFERROR(VLOOKUP(F20,[5]入力シート!$C:$AH,18,FALSE),0)</f>
      </c>
      <c r="J20" s="37">
        <f>ROUNDDOWN(I20*1.1,0)</f>
        <v>0</v>
      </c>
      <c r="K20" s="36">
        <f>IFERROR((I20*H20),"")</f>
        <v>0</v>
      </c>
      <c r="L20" s="37">
        <f>IFERROR((J20*H20),"")</f>
        <v>0</v>
      </c>
      <c r="M20" s="22"/>
      <c r="N20" s="23"/>
      <c r="O20" s="102"/>
      <c r="P20" s="23"/>
      <c r="Q20" s="106"/>
      <c r="R20" s="107"/>
      <c r="S20" s="23"/>
      <c r="T20" s="106"/>
      <c r="U20" s="148"/>
      <c r="V20" s="23"/>
      <c r="W20" s="22"/>
      <c r="X20" s="43"/>
      <c r="Y20" s="112"/>
      <c r="Z20" s="113"/>
      <c r="AA20" s="34"/>
      <c r="AB20" s="9"/>
      <c r="AC20" s="9"/>
      <c r="AD20" s="9"/>
      <c r="AE20" s="9"/>
      <c r="AF20" s="162"/>
      <c r="AG20" s="163"/>
      <c r="AH20" s="164"/>
      <c r="AI20" s="163"/>
      <c r="AJ20" s="164"/>
      <c r="AK20" s="164"/>
      <c r="AL20" s="164"/>
      <c r="AM20" s="113"/>
      <c r="AN20" s="171"/>
      <c r="AO20" s="164"/>
      <c r="AP20" s="164"/>
      <c r="AQ20" s="164"/>
      <c r="AR20" s="164"/>
      <c r="AS20" s="113"/>
      <c r="AT20" s="155"/>
      <c r="AU20" s="109"/>
      <c r="AV20" s="109"/>
      <c r="AW20" s="17"/>
    </row>
    <row r="21" spans="1:49" ht="21.6" customHeight="1" outlineLevel="1">
      <c r="A21" s="24"/>
      <c r="B21" s="24"/>
      <c r="C21" s="25"/>
      <c r="D21" s="26"/>
      <c r="E21" s="27"/>
      <c r="F21" s="48"/>
      <c r="G21" s="4" t="str">
        <f>IFERROR(VLOOKUP(F21,[4]EX0054_在庫表!$A:$B,2,FALSE),"")</f>
      </c>
      <c r="H21" s="48"/>
      <c r="I21" s="36">
        <f>IFERROR(VLOOKUP(F21,[5]入力シート!$C:$AH,18,FALSE),0)</f>
      </c>
      <c r="J21" s="37">
        <f>ROUNDDOWN(I21*1.1,0)</f>
        <v>0</v>
      </c>
      <c r="K21" s="36">
        <f>IFERROR((I21*H21),"")</f>
        <v>0</v>
      </c>
      <c r="L21" s="37">
        <f>IFERROR((J21*H21),"")</f>
        <v>0</v>
      </c>
      <c r="M21" s="16"/>
      <c r="N21" s="17"/>
      <c r="O21" s="103"/>
      <c r="P21" s="17"/>
      <c r="Q21" s="108"/>
      <c r="R21" s="109"/>
      <c r="S21" s="17"/>
      <c r="T21" s="108"/>
      <c r="U21" s="147"/>
      <c r="V21" s="17"/>
      <c r="W21" s="16"/>
      <c r="X21" s="41"/>
      <c r="Y21" s="114"/>
      <c r="Z21" s="115"/>
      <c r="AA21" s="32"/>
      <c r="AB21" s="5"/>
      <c r="AC21" s="5"/>
      <c r="AD21" s="5"/>
      <c r="AE21" s="5"/>
      <c r="AF21" s="155"/>
      <c r="AG21" s="166"/>
      <c r="AH21" s="165"/>
      <c r="AI21" s="166"/>
      <c r="AJ21" s="165"/>
      <c r="AK21" s="165"/>
      <c r="AL21" s="165"/>
      <c r="AM21" s="115"/>
      <c r="AN21" s="172"/>
      <c r="AO21" s="165"/>
      <c r="AP21" s="165"/>
      <c r="AQ21" s="165"/>
      <c r="AR21" s="165"/>
      <c r="AS21" s="115"/>
      <c r="AT21" s="155"/>
      <c r="AU21" s="109"/>
      <c r="AV21" s="109"/>
      <c r="AW21" s="17"/>
    </row>
    <row r="22" spans="1:49" ht="21.6" customHeight="1" outlineLevel="1">
      <c r="A22" s="24"/>
      <c r="B22" s="24"/>
      <c r="C22" s="25"/>
      <c r="D22" s="26"/>
      <c r="E22" s="27"/>
      <c r="F22" s="48"/>
      <c r="G22" s="4" t="str">
        <f>IFERROR(VLOOKUP(F22,[4]EX0054_在庫表!$A:$B,2,FALSE),"")</f>
      </c>
      <c r="H22" s="48"/>
      <c r="I22" s="36">
        <f>IFERROR(VLOOKUP(F22,[5]入力シート!$C:$AH,18,FALSE),0)</f>
      </c>
      <c r="J22" s="37">
        <f>ROUNDDOWN(I22*1.1,0)</f>
        <v>0</v>
      </c>
      <c r="K22" s="36">
        <f>IFERROR((I22*H22),"")</f>
        <v>0</v>
      </c>
      <c r="L22" s="37">
        <f>IFERROR((J22*H22),"")</f>
        <v>0</v>
      </c>
      <c r="M22" s="16"/>
      <c r="N22" s="17"/>
      <c r="O22" s="103"/>
      <c r="P22" s="17"/>
      <c r="Q22" s="108"/>
      <c r="R22" s="109"/>
      <c r="S22" s="17"/>
      <c r="T22" s="108"/>
      <c r="U22" s="147"/>
      <c r="V22" s="17"/>
      <c r="W22" s="16"/>
      <c r="X22" s="41"/>
      <c r="Y22" s="114"/>
      <c r="Z22" s="115"/>
      <c r="AA22" s="32"/>
      <c r="AB22" s="5"/>
      <c r="AC22" s="5"/>
      <c r="AD22" s="5"/>
      <c r="AE22" s="5"/>
      <c r="AF22" s="155"/>
      <c r="AG22" s="166"/>
      <c r="AH22" s="165"/>
      <c r="AI22" s="166"/>
      <c r="AJ22" s="165"/>
      <c r="AK22" s="165"/>
      <c r="AL22" s="165"/>
      <c r="AM22" s="115"/>
      <c r="AN22" s="172"/>
      <c r="AO22" s="165"/>
      <c r="AP22" s="165"/>
      <c r="AQ22" s="165"/>
      <c r="AR22" s="165"/>
      <c r="AS22" s="115"/>
      <c r="AT22" s="155"/>
      <c r="AU22" s="109"/>
      <c r="AV22" s="109"/>
      <c r="AW22" s="17"/>
    </row>
    <row r="23" spans="1:49" ht="21.6" customHeight="1" outlineLevel="1">
      <c r="A23" s="24"/>
      <c r="B23" s="24"/>
      <c r="C23" s="25"/>
      <c r="D23" s="26"/>
      <c r="E23" s="27"/>
      <c r="F23" s="48"/>
      <c r="G23" s="4" t="str">
        <f>IFERROR(VLOOKUP(F23,[4]EX0054_在庫表!$A:$B,2,FALSE),"")</f>
      </c>
      <c r="H23" s="48"/>
      <c r="I23" s="36">
        <f>IFERROR(VLOOKUP(F23,[5]入力シート!$C:$AH,18,FALSE),0)</f>
      </c>
      <c r="J23" s="37">
        <f>ROUNDDOWN(I23*1.1,0)</f>
        <v>0</v>
      </c>
      <c r="K23" s="36">
        <f>IFERROR((I23*H23),"")</f>
        <v>0</v>
      </c>
      <c r="L23" s="37">
        <f>IFERROR((J23*H23),"")</f>
        <v>0</v>
      </c>
      <c r="M23" s="16"/>
      <c r="N23" s="17"/>
      <c r="O23" s="103"/>
      <c r="P23" s="17"/>
      <c r="Q23" s="108"/>
      <c r="R23" s="109"/>
      <c r="S23" s="17"/>
      <c r="T23" s="108"/>
      <c r="U23" s="147"/>
      <c r="V23" s="17"/>
      <c r="W23" s="16"/>
      <c r="X23" s="41"/>
      <c r="Y23" s="114"/>
      <c r="Z23" s="115"/>
      <c r="AA23" s="32"/>
      <c r="AB23" s="5"/>
      <c r="AC23" s="5"/>
      <c r="AD23" s="5"/>
      <c r="AE23" s="5"/>
      <c r="AF23" s="155"/>
      <c r="AG23" s="166"/>
      <c r="AH23" s="165"/>
      <c r="AI23" s="166"/>
      <c r="AJ23" s="165"/>
      <c r="AK23" s="165"/>
      <c r="AL23" s="165"/>
      <c r="AM23" s="115"/>
      <c r="AN23" s="172"/>
      <c r="AO23" s="165"/>
      <c r="AP23" s="165"/>
      <c r="AQ23" s="165"/>
      <c r="AR23" s="165"/>
      <c r="AS23" s="115"/>
      <c r="AT23" s="155"/>
      <c r="AU23" s="109"/>
      <c r="AV23" s="109"/>
      <c r="AW23" s="17"/>
    </row>
    <row r="24" spans="1:49" ht="21.6" customHeight="1" outlineLevel="1">
      <c r="A24" s="24"/>
      <c r="B24" s="24"/>
      <c r="C24" s="25"/>
      <c r="D24" s="26"/>
      <c r="E24" s="27"/>
      <c r="F24" s="48"/>
      <c r="G24" s="4" t="str">
        <f>IFERROR(VLOOKUP(F24,[4]EX0054_在庫表!$A:$B,2,FALSE),"")</f>
      </c>
      <c r="H24" s="48"/>
      <c r="I24" s="36">
        <f>IFERROR(VLOOKUP(F24,[5]入力シート!$C:$AH,18,FALSE),0)</f>
      </c>
      <c r="J24" s="37">
        <f>ROUNDDOWN(I24*1.1,0)</f>
        <v>0</v>
      </c>
      <c r="K24" s="36">
        <f>IFERROR((I24*H24),"")</f>
        <v>0</v>
      </c>
      <c r="L24" s="37">
        <f>IFERROR((J24*H24),"")</f>
        <v>0</v>
      </c>
      <c r="M24" s="16"/>
      <c r="N24" s="17"/>
      <c r="O24" s="103"/>
      <c r="P24" s="17"/>
      <c r="Q24" s="108"/>
      <c r="R24" s="109"/>
      <c r="S24" s="17"/>
      <c r="T24" s="108"/>
      <c r="U24" s="147"/>
      <c r="V24" s="17"/>
      <c r="W24" s="16"/>
      <c r="X24" s="41"/>
      <c r="Y24" s="114"/>
      <c r="Z24" s="115"/>
      <c r="AA24" s="32"/>
      <c r="AB24" s="5"/>
      <c r="AC24" s="5"/>
      <c r="AD24" s="5"/>
      <c r="AE24" s="5"/>
      <c r="AF24" s="155"/>
      <c r="AG24" s="166"/>
      <c r="AH24" s="165"/>
      <c r="AI24" s="166"/>
      <c r="AJ24" s="165"/>
      <c r="AK24" s="165"/>
      <c r="AL24" s="165"/>
      <c r="AM24" s="115"/>
      <c r="AN24" s="172"/>
      <c r="AO24" s="165"/>
      <c r="AP24" s="165"/>
      <c r="AQ24" s="165"/>
      <c r="AR24" s="165"/>
      <c r="AS24" s="115"/>
      <c r="AT24" s="155"/>
      <c r="AU24" s="109"/>
      <c r="AV24" s="109"/>
      <c r="AW24" s="17"/>
    </row>
    <row r="25" spans="1:49" ht="21.6" customHeight="1" outlineLevel="1">
      <c r="A25" s="24"/>
      <c r="B25" s="24"/>
      <c r="C25" s="25"/>
      <c r="D25" s="26"/>
      <c r="E25" s="27"/>
      <c r="F25" s="48"/>
      <c r="G25" s="4" t="str">
        <f>IFERROR(VLOOKUP(F25,[4]EX0054_在庫表!$A:$B,2,FALSE),"")</f>
      </c>
      <c r="H25" s="48"/>
      <c r="I25" s="36">
        <f>IFERROR(VLOOKUP(F25,[5]入力シート!$C:$AH,18,FALSE),0)</f>
      </c>
      <c r="J25" s="37">
        <f>ROUNDDOWN(I25*1.1,0)</f>
        <v>0</v>
      </c>
      <c r="K25" s="36">
        <f>IFERROR((I25*H25),"")</f>
        <v>0</v>
      </c>
      <c r="L25" s="37">
        <f>IFERROR((J25*H25),"")</f>
        <v>0</v>
      </c>
      <c r="M25" s="16"/>
      <c r="N25" s="17"/>
      <c r="O25" s="103"/>
      <c r="P25" s="17"/>
      <c r="Q25" s="108"/>
      <c r="R25" s="109"/>
      <c r="S25" s="17"/>
      <c r="T25" s="108"/>
      <c r="U25" s="147"/>
      <c r="V25" s="17"/>
      <c r="W25" s="16"/>
      <c r="X25" s="41"/>
      <c r="Y25" s="114"/>
      <c r="Z25" s="115"/>
      <c r="AA25" s="32"/>
      <c r="AB25" s="5"/>
      <c r="AC25" s="5"/>
      <c r="AD25" s="5"/>
      <c r="AE25" s="5"/>
      <c r="AF25" s="155"/>
      <c r="AG25" s="166"/>
      <c r="AH25" s="165"/>
      <c r="AI25" s="166"/>
      <c r="AJ25" s="165"/>
      <c r="AK25" s="165"/>
      <c r="AL25" s="165"/>
      <c r="AM25" s="115"/>
      <c r="AN25" s="172"/>
      <c r="AO25" s="165"/>
      <c r="AP25" s="165"/>
      <c r="AQ25" s="165"/>
      <c r="AR25" s="165"/>
      <c r="AS25" s="115"/>
      <c r="AT25" s="155"/>
      <c r="AU25" s="109"/>
      <c r="AV25" s="109"/>
      <c r="AW25" s="17"/>
    </row>
    <row r="26" spans="1:49" ht="21.6" customHeight="1" outlineLevel="1">
      <c r="A26" s="24"/>
      <c r="B26" s="24"/>
      <c r="C26" s="25"/>
      <c r="D26" s="26"/>
      <c r="E26" s="27"/>
      <c r="F26" s="48"/>
      <c r="G26" s="4" t="str">
        <f>IFERROR(VLOOKUP(F26,[4]EX0054_在庫表!$A:$B,2,FALSE),"")</f>
      </c>
      <c r="H26" s="48"/>
      <c r="I26" s="36">
        <f>IFERROR(VLOOKUP(F26,[5]入力シート!$C:$AH,18,FALSE),0)</f>
      </c>
      <c r="J26" s="37">
        <f>ROUNDDOWN(I26*1.1,0)</f>
        <v>0</v>
      </c>
      <c r="K26" s="36">
        <f>IFERROR((I26*H26),"")</f>
        <v>0</v>
      </c>
      <c r="L26" s="37">
        <f>IFERROR((J26*H26),"")</f>
        <v>0</v>
      </c>
      <c r="M26" s="16"/>
      <c r="N26" s="17"/>
      <c r="O26" s="103"/>
      <c r="P26" s="17"/>
      <c r="Q26" s="108"/>
      <c r="R26" s="109"/>
      <c r="S26" s="17"/>
      <c r="T26" s="108"/>
      <c r="U26" s="147"/>
      <c r="V26" s="17"/>
      <c r="W26" s="16"/>
      <c r="X26" s="41"/>
      <c r="Y26" s="114"/>
      <c r="Z26" s="115"/>
      <c r="AA26" s="32"/>
      <c r="AB26" s="5"/>
      <c r="AC26" s="5"/>
      <c r="AD26" s="5"/>
      <c r="AE26" s="5"/>
      <c r="AF26" s="155"/>
      <c r="AG26" s="166"/>
      <c r="AH26" s="165"/>
      <c r="AI26" s="166"/>
      <c r="AJ26" s="165"/>
      <c r="AK26" s="165"/>
      <c r="AL26" s="165"/>
      <c r="AM26" s="115"/>
      <c r="AN26" s="172"/>
      <c r="AO26" s="165"/>
      <c r="AP26" s="165"/>
      <c r="AQ26" s="165"/>
      <c r="AR26" s="165"/>
      <c r="AS26" s="115"/>
      <c r="AT26" s="155"/>
      <c r="AU26" s="109"/>
      <c r="AV26" s="109"/>
      <c r="AW26" s="17"/>
    </row>
    <row r="27" spans="1:49" ht="21.6" customHeight="1" outlineLevel="1">
      <c r="A27" s="28"/>
      <c r="B27" s="28"/>
      <c r="C27" s="29"/>
      <c r="D27" s="30"/>
      <c r="E27" s="31"/>
      <c r="F27" s="49"/>
      <c r="G27" s="4" t="str">
        <f>IFERROR(VLOOKUP(F27,[4]EX0054_在庫表!$A:$B,2,FALSE),"")</f>
      </c>
      <c r="H27" s="49"/>
      <c r="I27" s="36">
        <f>IFERROR(VLOOKUP(F27,[5]入力シート!$C:$AH,18,FALSE),0)</f>
      </c>
      <c r="J27" s="37">
        <f>ROUNDDOWN(I27*1.1,0)</f>
        <v>0</v>
      </c>
      <c r="K27" s="36">
        <f>IFERROR((I27*H27),"")</f>
        <v>0</v>
      </c>
      <c r="L27" s="37">
        <f>IFERROR((J27*H27),"")</f>
        <v>0</v>
      </c>
      <c r="M27" s="18"/>
      <c r="N27" s="19"/>
      <c r="O27" s="104"/>
      <c r="P27" s="19"/>
      <c r="Q27" s="110"/>
      <c r="R27" s="111"/>
      <c r="S27" s="19"/>
      <c r="T27" s="110"/>
      <c r="U27" s="149"/>
      <c r="V27" s="19"/>
      <c r="W27" s="18"/>
      <c r="X27" s="42"/>
      <c r="Y27" s="116"/>
      <c r="Z27" s="115"/>
      <c r="AA27" s="33"/>
      <c r="AB27" s="7"/>
      <c r="AC27" s="7"/>
      <c r="AD27" s="7"/>
      <c r="AE27" s="7"/>
      <c r="AF27" s="156"/>
      <c r="AG27" s="167"/>
      <c r="AH27" s="168"/>
      <c r="AI27" s="167"/>
      <c r="AJ27" s="168"/>
      <c r="AK27" s="168"/>
      <c r="AL27" s="168"/>
      <c r="AM27" s="117"/>
      <c r="AN27" s="173"/>
      <c r="AO27" s="168"/>
      <c r="AP27" s="168"/>
      <c r="AQ27" s="168"/>
      <c r="AR27" s="168"/>
      <c r="AS27" s="117"/>
      <c r="AT27" s="156"/>
      <c r="AU27" s="111"/>
      <c r="AV27" s="111"/>
      <c r="AW27" s="19"/>
    </row>
    <row r="28" spans="1:49" ht="29.65" customHeight="1">
      <c r="A28" s="8">
        <f>LENB(D28)</f>
        <v>0</v>
      </c>
      <c r="B28" s="8">
        <f>LENB(E28)</f>
        <v>0</v>
      </c>
      <c r="C28" s="46"/>
      <c r="D28" s="47"/>
      <c r="E28" s="205"/>
      <c r="F28" s="15"/>
      <c r="G28" s="14"/>
      <c r="H28" s="15"/>
      <c r="I28" s="20"/>
      <c r="J28" s="21"/>
      <c r="K28" s="44">
        <f>SUM(K29:K36)</f>
        <v>0</v>
      </c>
      <c r="L28" s="45">
        <f>SUM(L29:L36)</f>
        <v>0</v>
      </c>
      <c r="M28" s="105">
        <f>ROUNDUP(N28/1.1,0)</f>
        <v>0</v>
      </c>
      <c r="N28" s="51"/>
      <c r="O28" s="105">
        <f>ROUNDUP(P28/1.1,0)</f>
        <v>0</v>
      </c>
      <c r="P28" s="51"/>
      <c r="Q28" s="201" t="e">
        <f>1-(N28/L28)</f>
        <v>#DIV/0!</v>
      </c>
      <c r="R28" s="120">
        <f>K28-M28</f>
        <v>0</v>
      </c>
      <c r="S28" s="121">
        <f>L28-N28</f>
        <v>0</v>
      </c>
      <c r="T28" s="200" t="e">
        <f>1-(P28/N28)</f>
        <v>#DIV/0!</v>
      </c>
      <c r="U28" s="122">
        <f>M28-O28</f>
        <v>0</v>
      </c>
      <c r="V28" s="123">
        <f>N28-P28</f>
        <v>0</v>
      </c>
      <c r="W28" s="105">
        <f>ROUNDUP(X28/1.1,0)</f>
        <v>0</v>
      </c>
      <c r="X28" s="51"/>
      <c r="Y28" s="145"/>
      <c r="Z28" s="74"/>
      <c r="AA28" s="146"/>
      <c r="AB28" s="118"/>
      <c r="AC28" s="93"/>
      <c r="AD28" s="93"/>
      <c r="AE28" s="93"/>
      <c r="AF28" s="154"/>
      <c r="AG28" s="159"/>
      <c r="AH28" s="159"/>
      <c r="AI28" s="159"/>
      <c r="AJ28" s="160"/>
      <c r="AK28" s="159"/>
      <c r="AL28" s="159"/>
      <c r="AM28" s="161"/>
      <c r="AN28" s="154"/>
      <c r="AO28" s="159"/>
      <c r="AP28" s="159"/>
      <c r="AQ28" s="160"/>
      <c r="AR28" s="159"/>
      <c r="AS28" s="170"/>
      <c r="AT28" s="154"/>
      <c r="AU28" s="153"/>
      <c r="AV28" s="153"/>
      <c r="AW28" s="74"/>
    </row>
    <row r="29" spans="1:49" ht="21.6" customHeight="1" outlineLevel="1">
      <c r="A29" s="24"/>
      <c r="B29" s="24"/>
      <c r="C29" s="25"/>
      <c r="D29" s="26"/>
      <c r="E29" s="27"/>
      <c r="F29" s="48"/>
      <c r="G29" s="4" t="str">
        <v/>
      </c>
      <c r="H29" s="50"/>
      <c r="I29" s="36">
        <v>0</v>
      </c>
      <c r="J29" s="37">
        <f>ROUNDDOWN(I29*1.1,0)</f>
        <v>0</v>
      </c>
      <c r="K29" s="36">
        <f>IFERROR((I29*H29),"")</f>
        <v>0</v>
      </c>
      <c r="L29" s="37">
        <f>IFERROR((J29*H29),"")</f>
        <v>0</v>
      </c>
      <c r="M29" s="22"/>
      <c r="N29" s="23"/>
      <c r="O29" s="102"/>
      <c r="P29" s="23"/>
      <c r="Q29" s="106"/>
      <c r="R29" s="107"/>
      <c r="S29" s="23"/>
      <c r="T29" s="106"/>
      <c r="U29" s="148"/>
      <c r="V29" s="23"/>
      <c r="W29" s="22"/>
      <c r="X29" s="43"/>
      <c r="Y29" s="112"/>
      <c r="Z29" s="113"/>
      <c r="AA29" s="34"/>
      <c r="AB29" s="9"/>
      <c r="AC29" s="9"/>
      <c r="AD29" s="9"/>
      <c r="AE29" s="9"/>
      <c r="AF29" s="162"/>
      <c r="AG29" s="163"/>
      <c r="AH29" s="164"/>
      <c r="AI29" s="163"/>
      <c r="AJ29" s="164"/>
      <c r="AK29" s="164"/>
      <c r="AL29" s="164"/>
      <c r="AM29" s="113"/>
      <c r="AN29" s="171"/>
      <c r="AO29" s="164"/>
      <c r="AP29" s="164"/>
      <c r="AQ29" s="164"/>
      <c r="AR29" s="164"/>
      <c r="AS29" s="113"/>
      <c r="AT29" s="155"/>
      <c r="AU29" s="109"/>
      <c r="AV29" s="109"/>
      <c r="AW29" s="17"/>
    </row>
    <row r="30" spans="1:49" ht="21.6" customHeight="1" outlineLevel="1">
      <c r="A30" s="24"/>
      <c r="B30" s="24"/>
      <c r="C30" s="25"/>
      <c r="D30" s="26"/>
      <c r="E30" s="27"/>
      <c r="F30" s="48"/>
      <c r="G30" s="4" t="str">
        <v/>
      </c>
      <c r="H30" s="48"/>
      <c r="I30" s="36">
        <v>0</v>
      </c>
      <c r="J30" s="37">
        <f>ROUNDDOWN(I30*1.1,0)</f>
        <v>0</v>
      </c>
      <c r="K30" s="36">
        <f>IFERROR((I30*H30),"")</f>
        <v>0</v>
      </c>
      <c r="L30" s="37">
        <f>IFERROR((J30*H30),"")</f>
        <v>0</v>
      </c>
      <c r="M30" s="16"/>
      <c r="N30" s="17"/>
      <c r="O30" s="103"/>
      <c r="P30" s="17"/>
      <c r="Q30" s="108"/>
      <c r="R30" s="109"/>
      <c r="S30" s="17"/>
      <c r="T30" s="108"/>
      <c r="U30" s="147"/>
      <c r="V30" s="17"/>
      <c r="W30" s="16"/>
      <c r="X30" s="41"/>
      <c r="Y30" s="114"/>
      <c r="Z30" s="115"/>
      <c r="AA30" s="32"/>
      <c r="AB30" s="5"/>
      <c r="AC30" s="5"/>
      <c r="AD30" s="5"/>
      <c r="AE30" s="5"/>
      <c r="AF30" s="155"/>
      <c r="AG30" s="166"/>
      <c r="AH30" s="165"/>
      <c r="AI30" s="166"/>
      <c r="AJ30" s="165"/>
      <c r="AK30" s="165"/>
      <c r="AL30" s="165"/>
      <c r="AM30" s="115"/>
      <c r="AN30" s="172"/>
      <c r="AO30" s="165"/>
      <c r="AP30" s="165"/>
      <c r="AQ30" s="165"/>
      <c r="AR30" s="165"/>
      <c r="AS30" s="115"/>
      <c r="AT30" s="155"/>
      <c r="AU30" s="109"/>
      <c r="AV30" s="109"/>
      <c r="AW30" s="17"/>
    </row>
    <row r="31" spans="1:49" ht="21.6" customHeight="1" outlineLevel="1">
      <c r="A31" s="24"/>
      <c r="B31" s="24"/>
      <c r="C31" s="25"/>
      <c r="D31" s="26"/>
      <c r="E31" s="27"/>
      <c r="F31" s="48"/>
      <c r="G31" s="4" t="str">
        <v/>
      </c>
      <c r="H31" s="48"/>
      <c r="I31" s="36">
        <v>0</v>
      </c>
      <c r="J31" s="37">
        <f>ROUNDDOWN(I31*1.1,0)</f>
        <v>0</v>
      </c>
      <c r="K31" s="36">
        <f>IFERROR((I31*H31),"")</f>
        <v>0</v>
      </c>
      <c r="L31" s="37">
        <f>IFERROR((J31*H31),"")</f>
        <v>0</v>
      </c>
      <c r="M31" s="16"/>
      <c r="N31" s="17"/>
      <c r="O31" s="103"/>
      <c r="P31" s="17"/>
      <c r="Q31" s="108"/>
      <c r="R31" s="109"/>
      <c r="S31" s="17"/>
      <c r="T31" s="108"/>
      <c r="U31" s="147"/>
      <c r="V31" s="17"/>
      <c r="W31" s="16"/>
      <c r="X31" s="41"/>
      <c r="Y31" s="114"/>
      <c r="Z31" s="115"/>
      <c r="AA31" s="32"/>
      <c r="AB31" s="5"/>
      <c r="AC31" s="5"/>
      <c r="AD31" s="5"/>
      <c r="AE31" s="5"/>
      <c r="AF31" s="155"/>
      <c r="AG31" s="166"/>
      <c r="AH31" s="165"/>
      <c r="AI31" s="166"/>
      <c r="AJ31" s="165"/>
      <c r="AK31" s="165"/>
      <c r="AL31" s="165"/>
      <c r="AM31" s="115"/>
      <c r="AN31" s="172"/>
      <c r="AO31" s="165"/>
      <c r="AP31" s="165"/>
      <c r="AQ31" s="165"/>
      <c r="AR31" s="165"/>
      <c r="AS31" s="115"/>
      <c r="AT31" s="155"/>
      <c r="AU31" s="109"/>
      <c r="AV31" s="109"/>
      <c r="AW31" s="17"/>
    </row>
    <row r="32" spans="1:49" ht="21.6" customHeight="1" outlineLevel="1">
      <c r="A32" s="24"/>
      <c r="B32" s="24"/>
      <c r="C32" s="25"/>
      <c r="D32" s="26"/>
      <c r="E32" s="27"/>
      <c r="F32" s="48"/>
      <c r="G32" s="4" t="str">
        <v/>
      </c>
      <c r="H32" s="48"/>
      <c r="I32" s="36">
        <v>0</v>
      </c>
      <c r="J32" s="37">
        <f>ROUNDDOWN(I32*1.1,0)</f>
        <v>0</v>
      </c>
      <c r="K32" s="36">
        <f>IFERROR((I32*H32),"")</f>
        <v>0</v>
      </c>
      <c r="L32" s="37">
        <f>IFERROR((J32*H32),"")</f>
        <v>0</v>
      </c>
      <c r="M32" s="16"/>
      <c r="N32" s="17"/>
      <c r="O32" s="103"/>
      <c r="P32" s="17"/>
      <c r="Q32" s="108"/>
      <c r="R32" s="109"/>
      <c r="S32" s="17"/>
      <c r="T32" s="108"/>
      <c r="U32" s="147"/>
      <c r="V32" s="17"/>
      <c r="W32" s="16"/>
      <c r="X32" s="41"/>
      <c r="Y32" s="114"/>
      <c r="Z32" s="115"/>
      <c r="AA32" s="32"/>
      <c r="AB32" s="5"/>
      <c r="AC32" s="5"/>
      <c r="AD32" s="5"/>
      <c r="AE32" s="5"/>
      <c r="AF32" s="155"/>
      <c r="AG32" s="166"/>
      <c r="AH32" s="165"/>
      <c r="AI32" s="166"/>
      <c r="AJ32" s="165"/>
      <c r="AK32" s="165"/>
      <c r="AL32" s="165"/>
      <c r="AM32" s="115"/>
      <c r="AN32" s="172"/>
      <c r="AO32" s="165"/>
      <c r="AP32" s="165"/>
      <c r="AQ32" s="165"/>
      <c r="AR32" s="165"/>
      <c r="AS32" s="115"/>
      <c r="AT32" s="155"/>
      <c r="AU32" s="109"/>
      <c r="AV32" s="109"/>
      <c r="AW32" s="17"/>
    </row>
    <row r="33" spans="1:49" ht="21.6" customHeight="1" outlineLevel="1">
      <c r="A33" s="24"/>
      <c r="B33" s="24"/>
      <c r="C33" s="25"/>
      <c r="D33" s="26"/>
      <c r="E33" s="27"/>
      <c r="F33" s="48"/>
      <c r="G33" s="4" t="str">
        <v/>
      </c>
      <c r="H33" s="48"/>
      <c r="I33" s="36">
        <v>0</v>
      </c>
      <c r="J33" s="37">
        <f>ROUNDDOWN(I33*1.1,0)</f>
        <v>0</v>
      </c>
      <c r="K33" s="36">
        <f>IFERROR((I33*H33),"")</f>
        <v>0</v>
      </c>
      <c r="L33" s="37">
        <f>IFERROR((J33*H33),"")</f>
        <v>0</v>
      </c>
      <c r="M33" s="16"/>
      <c r="N33" s="17"/>
      <c r="O33" s="103"/>
      <c r="P33" s="17"/>
      <c r="Q33" s="108"/>
      <c r="R33" s="109"/>
      <c r="S33" s="17"/>
      <c r="T33" s="108"/>
      <c r="U33" s="147"/>
      <c r="V33" s="17"/>
      <c r="W33" s="16"/>
      <c r="X33" s="41"/>
      <c r="Y33" s="114"/>
      <c r="Z33" s="115"/>
      <c r="AA33" s="32"/>
      <c r="AB33" s="5"/>
      <c r="AC33" s="5"/>
      <c r="AD33" s="5"/>
      <c r="AE33" s="5"/>
      <c r="AF33" s="155"/>
      <c r="AG33" s="166"/>
      <c r="AH33" s="165"/>
      <c r="AI33" s="166"/>
      <c r="AJ33" s="165"/>
      <c r="AK33" s="165"/>
      <c r="AL33" s="165"/>
      <c r="AM33" s="115"/>
      <c r="AN33" s="172"/>
      <c r="AO33" s="165"/>
      <c r="AP33" s="165"/>
      <c r="AQ33" s="165"/>
      <c r="AR33" s="165"/>
      <c r="AS33" s="115"/>
      <c r="AT33" s="155"/>
      <c r="AU33" s="109"/>
      <c r="AV33" s="109"/>
      <c r="AW33" s="17"/>
    </row>
    <row r="34" spans="1:49" ht="21.6" customHeight="1" outlineLevel="1">
      <c r="A34" s="24"/>
      <c r="B34" s="24"/>
      <c r="C34" s="25"/>
      <c r="D34" s="26"/>
      <c r="E34" s="27"/>
      <c r="F34" s="48"/>
      <c r="G34" s="4" t="str">
        <v/>
      </c>
      <c r="H34" s="48"/>
      <c r="I34" s="36">
        <v>0</v>
      </c>
      <c r="J34" s="37">
        <f>ROUNDDOWN(I34*1.1,0)</f>
        <v>0</v>
      </c>
      <c r="K34" s="36">
        <f>IFERROR((I34*H34),"")</f>
        <v>0</v>
      </c>
      <c r="L34" s="37">
        <f>IFERROR((J34*H34),"")</f>
        <v>0</v>
      </c>
      <c r="M34" s="16"/>
      <c r="N34" s="17"/>
      <c r="O34" s="103"/>
      <c r="P34" s="17"/>
      <c r="Q34" s="108"/>
      <c r="R34" s="109"/>
      <c r="S34" s="17"/>
      <c r="T34" s="108"/>
      <c r="U34" s="147"/>
      <c r="V34" s="17"/>
      <c r="W34" s="16"/>
      <c r="X34" s="41"/>
      <c r="Y34" s="114"/>
      <c r="Z34" s="115"/>
      <c r="AA34" s="32"/>
      <c r="AB34" s="5"/>
      <c r="AC34" s="5"/>
      <c r="AD34" s="5"/>
      <c r="AE34" s="5"/>
      <c r="AF34" s="155"/>
      <c r="AG34" s="166"/>
      <c r="AH34" s="165"/>
      <c r="AI34" s="166"/>
      <c r="AJ34" s="165"/>
      <c r="AK34" s="165"/>
      <c r="AL34" s="165"/>
      <c r="AM34" s="115"/>
      <c r="AN34" s="172"/>
      <c r="AO34" s="165"/>
      <c r="AP34" s="165"/>
      <c r="AQ34" s="165"/>
      <c r="AR34" s="165"/>
      <c r="AS34" s="115"/>
      <c r="AT34" s="155"/>
      <c r="AU34" s="109"/>
      <c r="AV34" s="109"/>
      <c r="AW34" s="17"/>
    </row>
    <row r="35" spans="1:49" ht="21.6" customHeight="1" outlineLevel="1">
      <c r="A35" s="24"/>
      <c r="B35" s="24"/>
      <c r="C35" s="25"/>
      <c r="D35" s="26"/>
      <c r="E35" s="27"/>
      <c r="F35" s="48"/>
      <c r="G35" s="4" t="str">
        <v/>
      </c>
      <c r="H35" s="48"/>
      <c r="I35" s="36">
        <v>0</v>
      </c>
      <c r="J35" s="37">
        <f>ROUNDDOWN(I35*1.1,0)</f>
        <v>0</v>
      </c>
      <c r="K35" s="36">
        <f>IFERROR((I35*H35),"")</f>
        <v>0</v>
      </c>
      <c r="L35" s="37">
        <f>IFERROR((J35*H35),"")</f>
        <v>0</v>
      </c>
      <c r="M35" s="16"/>
      <c r="N35" s="17"/>
      <c r="O35" s="103"/>
      <c r="P35" s="17"/>
      <c r="Q35" s="108"/>
      <c r="R35" s="109"/>
      <c r="S35" s="17"/>
      <c r="T35" s="108"/>
      <c r="U35" s="147"/>
      <c r="V35" s="17"/>
      <c r="W35" s="16"/>
      <c r="X35" s="41"/>
      <c r="Y35" s="114"/>
      <c r="Z35" s="115"/>
      <c r="AA35" s="32"/>
      <c r="AB35" s="5"/>
      <c r="AC35" s="5"/>
      <c r="AD35" s="5"/>
      <c r="AE35" s="5"/>
      <c r="AF35" s="155"/>
      <c r="AG35" s="166"/>
      <c r="AH35" s="165"/>
      <c r="AI35" s="166"/>
      <c r="AJ35" s="165"/>
      <c r="AK35" s="165"/>
      <c r="AL35" s="165"/>
      <c r="AM35" s="115"/>
      <c r="AN35" s="172"/>
      <c r="AO35" s="165"/>
      <c r="AP35" s="165"/>
      <c r="AQ35" s="165"/>
      <c r="AR35" s="165"/>
      <c r="AS35" s="115"/>
      <c r="AT35" s="155"/>
      <c r="AU35" s="109"/>
      <c r="AV35" s="109"/>
      <c r="AW35" s="17"/>
    </row>
    <row r="36" spans="1:49" ht="21.6" customHeight="1" outlineLevel="1">
      <c r="A36" s="28"/>
      <c r="B36" s="28"/>
      <c r="C36" s="29"/>
      <c r="D36" s="30"/>
      <c r="E36" s="31"/>
      <c r="F36" s="49"/>
      <c r="G36" s="4" t="str">
        <v/>
      </c>
      <c r="H36" s="49"/>
      <c r="I36" s="36">
        <v>0</v>
      </c>
      <c r="J36" s="37">
        <f>ROUNDDOWN(I36*1.1,0)</f>
        <v>0</v>
      </c>
      <c r="K36" s="36">
        <f>IFERROR((I36*H36),"")</f>
        <v>0</v>
      </c>
      <c r="L36" s="37">
        <f>IFERROR((J36*H36),"")</f>
        <v>0</v>
      </c>
      <c r="M36" s="18"/>
      <c r="N36" s="19"/>
      <c r="O36" s="104"/>
      <c r="P36" s="19"/>
      <c r="Q36" s="110"/>
      <c r="R36" s="111"/>
      <c r="S36" s="19"/>
      <c r="T36" s="110"/>
      <c r="U36" s="149"/>
      <c r="V36" s="19"/>
      <c r="W36" s="18"/>
      <c r="X36" s="42"/>
      <c r="Y36" s="116"/>
      <c r="Z36" s="115"/>
      <c r="AA36" s="33"/>
      <c r="AB36" s="7"/>
      <c r="AC36" s="7"/>
      <c r="AD36" s="7"/>
      <c r="AE36" s="7"/>
      <c r="AF36" s="156"/>
      <c r="AG36" s="167"/>
      <c r="AH36" s="168"/>
      <c r="AI36" s="167"/>
      <c r="AJ36" s="168"/>
      <c r="AK36" s="168"/>
      <c r="AL36" s="168"/>
      <c r="AM36" s="117"/>
      <c r="AN36" s="173"/>
      <c r="AO36" s="168"/>
      <c r="AP36" s="168"/>
      <c r="AQ36" s="168"/>
      <c r="AR36" s="168"/>
      <c r="AS36" s="117"/>
      <c r="AT36" s="156"/>
      <c r="AU36" s="111"/>
      <c r="AV36" s="111"/>
      <c r="AW36" s="19"/>
    </row>
    <row r="37" spans="1:49" ht="29.65" customHeight="1">
      <c r="A37" s="8">
        <f>LENB(D37)</f>
        <v>0</v>
      </c>
      <c r="B37" s="8">
        <f>LENB(E37)</f>
        <v>0</v>
      </c>
      <c r="C37" s="46"/>
      <c r="D37" s="47"/>
      <c r="E37" s="205"/>
      <c r="F37" s="15"/>
      <c r="G37" s="14"/>
      <c r="H37" s="15"/>
      <c r="I37" s="20"/>
      <c r="J37" s="21"/>
      <c r="K37" s="44">
        <f>SUM(K38:K45)</f>
        <v>0</v>
      </c>
      <c r="L37" s="45">
        <f>SUM(L38:L45)</f>
        <v>0</v>
      </c>
      <c r="M37" s="105">
        <f>ROUNDUP(N37/1.1,0)</f>
        <v>0</v>
      </c>
      <c r="N37" s="51"/>
      <c r="O37" s="105">
        <f>ROUNDUP(P37/1.1,0)</f>
        <v>0</v>
      </c>
      <c r="P37" s="51"/>
      <c r="Q37" s="201" t="e">
        <f>1-(N37/L37)</f>
        <v>#DIV/0!</v>
      </c>
      <c r="R37" s="120">
        <f>K37-M37</f>
        <v>0</v>
      </c>
      <c r="S37" s="121">
        <f>L37-N37</f>
        <v>0</v>
      </c>
      <c r="T37" s="200" t="e">
        <f>1-(P37/N37)</f>
        <v>#DIV/0!</v>
      </c>
      <c r="U37" s="122">
        <f>M37-O37</f>
        <v>0</v>
      </c>
      <c r="V37" s="123">
        <f>N37-P37</f>
        <v>0</v>
      </c>
      <c r="W37" s="105">
        <f>ROUNDUP(X37/1.1,0)</f>
        <v>0</v>
      </c>
      <c r="X37" s="51"/>
      <c r="Y37" s="145"/>
      <c r="Z37" s="74"/>
      <c r="AA37" s="146"/>
      <c r="AB37" s="118"/>
      <c r="AC37" s="93"/>
      <c r="AD37" s="93"/>
      <c r="AE37" s="93"/>
      <c r="AF37" s="154"/>
      <c r="AG37" s="159"/>
      <c r="AH37" s="159"/>
      <c r="AI37" s="159"/>
      <c r="AJ37" s="160"/>
      <c r="AK37" s="159"/>
      <c r="AL37" s="159"/>
      <c r="AM37" s="161"/>
      <c r="AN37" s="154"/>
      <c r="AO37" s="159"/>
      <c r="AP37" s="159"/>
      <c r="AQ37" s="160"/>
      <c r="AR37" s="159"/>
      <c r="AS37" s="170"/>
      <c r="AT37" s="154"/>
      <c r="AU37" s="153"/>
      <c r="AV37" s="153"/>
      <c r="AW37" s="74"/>
    </row>
    <row r="38" spans="1:49" ht="21.6" customHeight="1" outlineLevel="1">
      <c r="A38" s="24"/>
      <c r="B38" s="24"/>
      <c r="C38" s="25"/>
      <c r="D38" s="26"/>
      <c r="E38" s="27"/>
      <c r="F38" s="48"/>
      <c r="G38" s="4" t="str">
        <v/>
      </c>
      <c r="H38" s="50"/>
      <c r="I38" s="36">
        <v>0</v>
      </c>
      <c r="J38" s="37">
        <f>ROUNDDOWN(I38*1.1,0)</f>
        <v>0</v>
      </c>
      <c r="K38" s="36">
        <f>IFERROR((I38*H38),"")</f>
        <v>0</v>
      </c>
      <c r="L38" s="37">
        <f>IFERROR((J38*H38),"")</f>
        <v>0</v>
      </c>
      <c r="M38" s="22"/>
      <c r="N38" s="23"/>
      <c r="O38" s="102"/>
      <c r="P38" s="23"/>
      <c r="Q38" s="106"/>
      <c r="R38" s="107"/>
      <c r="S38" s="23"/>
      <c r="T38" s="106"/>
      <c r="U38" s="148"/>
      <c r="V38" s="23"/>
      <c r="W38" s="22"/>
      <c r="X38" s="43"/>
      <c r="Y38" s="112"/>
      <c r="Z38" s="113"/>
      <c r="AA38" s="34"/>
      <c r="AB38" s="9"/>
      <c r="AC38" s="9"/>
      <c r="AD38" s="9"/>
      <c r="AE38" s="9"/>
      <c r="AF38" s="162"/>
      <c r="AG38" s="163"/>
      <c r="AH38" s="164"/>
      <c r="AI38" s="163"/>
      <c r="AJ38" s="164"/>
      <c r="AK38" s="164"/>
      <c r="AL38" s="164"/>
      <c r="AM38" s="113"/>
      <c r="AN38" s="171"/>
      <c r="AO38" s="164"/>
      <c r="AP38" s="164"/>
      <c r="AQ38" s="164"/>
      <c r="AR38" s="164"/>
      <c r="AS38" s="113"/>
      <c r="AT38" s="155"/>
      <c r="AU38" s="109"/>
      <c r="AV38" s="109"/>
      <c r="AW38" s="17"/>
    </row>
    <row r="39" spans="1:49" ht="21.6" customHeight="1" outlineLevel="1">
      <c r="A39" s="24"/>
      <c r="B39" s="24"/>
      <c r="C39" s="25"/>
      <c r="D39" s="26"/>
      <c r="E39" s="27"/>
      <c r="F39" s="48"/>
      <c r="G39" s="4" t="str">
        <v/>
      </c>
      <c r="H39" s="48"/>
      <c r="I39" s="36">
        <v>0</v>
      </c>
      <c r="J39" s="37">
        <f>ROUNDDOWN(I39*1.1,0)</f>
        <v>0</v>
      </c>
      <c r="K39" s="36">
        <f>IFERROR((I39*H39),"")</f>
        <v>0</v>
      </c>
      <c r="L39" s="37">
        <f>IFERROR((J39*H39),"")</f>
        <v>0</v>
      </c>
      <c r="M39" s="16"/>
      <c r="N39" s="17"/>
      <c r="O39" s="103"/>
      <c r="P39" s="17"/>
      <c r="Q39" s="108"/>
      <c r="R39" s="109"/>
      <c r="S39" s="17"/>
      <c r="T39" s="108"/>
      <c r="U39" s="147"/>
      <c r="V39" s="17"/>
      <c r="W39" s="16"/>
      <c r="X39" s="41"/>
      <c r="Y39" s="114"/>
      <c r="Z39" s="115"/>
      <c r="AA39" s="32"/>
      <c r="AB39" s="5"/>
      <c r="AC39" s="5"/>
      <c r="AD39" s="5"/>
      <c r="AE39" s="5"/>
      <c r="AF39" s="155"/>
      <c r="AG39" s="166"/>
      <c r="AH39" s="165"/>
      <c r="AI39" s="166"/>
      <c r="AJ39" s="165"/>
      <c r="AK39" s="165"/>
      <c r="AL39" s="165"/>
      <c r="AM39" s="115"/>
      <c r="AN39" s="172"/>
      <c r="AO39" s="165"/>
      <c r="AP39" s="165"/>
      <c r="AQ39" s="165"/>
      <c r="AR39" s="165"/>
      <c r="AS39" s="115"/>
      <c r="AT39" s="155"/>
      <c r="AU39" s="109"/>
      <c r="AV39" s="109"/>
      <c r="AW39" s="17"/>
    </row>
    <row r="40" spans="1:49" ht="21.6" customHeight="1" outlineLevel="1">
      <c r="A40" s="24"/>
      <c r="B40" s="24"/>
      <c r="C40" s="25"/>
      <c r="D40" s="26"/>
      <c r="E40" s="27"/>
      <c r="F40" s="48"/>
      <c r="G40" s="4" t="str">
        <v/>
      </c>
      <c r="H40" s="48"/>
      <c r="I40" s="36">
        <v>0</v>
      </c>
      <c r="J40" s="37">
        <f>ROUNDDOWN(I40*1.1,0)</f>
        <v>0</v>
      </c>
      <c r="K40" s="36">
        <f>IFERROR((I40*H40),"")</f>
        <v>0</v>
      </c>
      <c r="L40" s="37">
        <f>IFERROR((J40*H40),"")</f>
        <v>0</v>
      </c>
      <c r="M40" s="16"/>
      <c r="N40" s="17"/>
      <c r="O40" s="103"/>
      <c r="P40" s="17"/>
      <c r="Q40" s="108"/>
      <c r="R40" s="109"/>
      <c r="S40" s="17"/>
      <c r="T40" s="108"/>
      <c r="U40" s="147"/>
      <c r="V40" s="17"/>
      <c r="W40" s="16"/>
      <c r="X40" s="41"/>
      <c r="Y40" s="114"/>
      <c r="Z40" s="115"/>
      <c r="AA40" s="32"/>
      <c r="AB40" s="5"/>
      <c r="AC40" s="5"/>
      <c r="AD40" s="5"/>
      <c r="AE40" s="5"/>
      <c r="AF40" s="155"/>
      <c r="AG40" s="166"/>
      <c r="AH40" s="165"/>
      <c r="AI40" s="166"/>
      <c r="AJ40" s="165"/>
      <c r="AK40" s="165"/>
      <c r="AL40" s="165"/>
      <c r="AM40" s="115"/>
      <c r="AN40" s="172"/>
      <c r="AO40" s="165"/>
      <c r="AP40" s="165"/>
      <c r="AQ40" s="165"/>
      <c r="AR40" s="165"/>
      <c r="AS40" s="115"/>
      <c r="AT40" s="155"/>
      <c r="AU40" s="109"/>
      <c r="AV40" s="109"/>
      <c r="AW40" s="17"/>
    </row>
    <row r="41" spans="1:49" ht="21.6" customHeight="1" outlineLevel="1">
      <c r="A41" s="24"/>
      <c r="B41" s="24"/>
      <c r="C41" s="25"/>
      <c r="D41" s="26"/>
      <c r="E41" s="27"/>
      <c r="F41" s="48"/>
      <c r="G41" s="4" t="str">
        <v/>
      </c>
      <c r="H41" s="48"/>
      <c r="I41" s="36">
        <v>0</v>
      </c>
      <c r="J41" s="37">
        <f>ROUNDDOWN(I41*1.1,0)</f>
        <v>0</v>
      </c>
      <c r="K41" s="36">
        <f>IFERROR((I41*H41),"")</f>
        <v>0</v>
      </c>
      <c r="L41" s="37">
        <f>IFERROR((J41*H41),"")</f>
        <v>0</v>
      </c>
      <c r="M41" s="16"/>
      <c r="N41" s="17"/>
      <c r="O41" s="103"/>
      <c r="P41" s="17"/>
      <c r="Q41" s="108"/>
      <c r="R41" s="109"/>
      <c r="S41" s="17"/>
      <c r="T41" s="108"/>
      <c r="U41" s="147"/>
      <c r="V41" s="17"/>
      <c r="W41" s="16"/>
      <c r="X41" s="41"/>
      <c r="Y41" s="114"/>
      <c r="Z41" s="115"/>
      <c r="AA41" s="32"/>
      <c r="AB41" s="5"/>
      <c r="AC41" s="5"/>
      <c r="AD41" s="5"/>
      <c r="AE41" s="5"/>
      <c r="AF41" s="155"/>
      <c r="AG41" s="166"/>
      <c r="AH41" s="165"/>
      <c r="AI41" s="166"/>
      <c r="AJ41" s="165"/>
      <c r="AK41" s="165"/>
      <c r="AL41" s="165"/>
      <c r="AM41" s="115"/>
      <c r="AN41" s="172"/>
      <c r="AO41" s="165"/>
      <c r="AP41" s="165"/>
      <c r="AQ41" s="165"/>
      <c r="AR41" s="165"/>
      <c r="AS41" s="115"/>
      <c r="AT41" s="155"/>
      <c r="AU41" s="109"/>
      <c r="AV41" s="109"/>
      <c r="AW41" s="17"/>
    </row>
    <row r="42" spans="1:49" ht="21.6" customHeight="1" outlineLevel="1">
      <c r="A42" s="24"/>
      <c r="B42" s="24"/>
      <c r="C42" s="25"/>
      <c r="D42" s="26"/>
      <c r="E42" s="27"/>
      <c r="F42" s="48"/>
      <c r="G42" s="4" t="str">
        <v/>
      </c>
      <c r="H42" s="48"/>
      <c r="I42" s="36">
        <v>0</v>
      </c>
      <c r="J42" s="37">
        <f>ROUNDDOWN(I42*1.1,0)</f>
        <v>0</v>
      </c>
      <c r="K42" s="36">
        <f>IFERROR((I42*H42),"")</f>
        <v>0</v>
      </c>
      <c r="L42" s="37">
        <f>IFERROR((J42*H42),"")</f>
        <v>0</v>
      </c>
      <c r="M42" s="16"/>
      <c r="N42" s="17"/>
      <c r="O42" s="103"/>
      <c r="P42" s="17"/>
      <c r="Q42" s="108"/>
      <c r="R42" s="109"/>
      <c r="S42" s="17"/>
      <c r="T42" s="108"/>
      <c r="U42" s="147"/>
      <c r="V42" s="17"/>
      <c r="W42" s="16"/>
      <c r="X42" s="41"/>
      <c r="Y42" s="114"/>
      <c r="Z42" s="115"/>
      <c r="AA42" s="32"/>
      <c r="AB42" s="5"/>
      <c r="AC42" s="5"/>
      <c r="AD42" s="5"/>
      <c r="AE42" s="5"/>
      <c r="AF42" s="155"/>
      <c r="AG42" s="166"/>
      <c r="AH42" s="165"/>
      <c r="AI42" s="166"/>
      <c r="AJ42" s="165"/>
      <c r="AK42" s="165"/>
      <c r="AL42" s="165"/>
      <c r="AM42" s="115"/>
      <c r="AN42" s="172"/>
      <c r="AO42" s="165"/>
      <c r="AP42" s="165"/>
      <c r="AQ42" s="165"/>
      <c r="AR42" s="165"/>
      <c r="AS42" s="115"/>
      <c r="AT42" s="155"/>
      <c r="AU42" s="109"/>
      <c r="AV42" s="109"/>
      <c r="AW42" s="17"/>
    </row>
    <row r="43" spans="1:49" ht="21.6" customHeight="1" outlineLevel="1">
      <c r="A43" s="24"/>
      <c r="B43" s="24"/>
      <c r="C43" s="25"/>
      <c r="D43" s="26"/>
      <c r="E43" s="27"/>
      <c r="F43" s="48"/>
      <c r="G43" s="4" t="str">
        <v/>
      </c>
      <c r="H43" s="48"/>
      <c r="I43" s="36">
        <v>0</v>
      </c>
      <c r="J43" s="37">
        <f>ROUNDDOWN(I43*1.1,0)</f>
        <v>0</v>
      </c>
      <c r="K43" s="36">
        <f>IFERROR((I43*H43),"")</f>
        <v>0</v>
      </c>
      <c r="L43" s="37">
        <f>IFERROR((J43*H43),"")</f>
        <v>0</v>
      </c>
      <c r="M43" s="16"/>
      <c r="N43" s="17"/>
      <c r="O43" s="103"/>
      <c r="P43" s="17"/>
      <c r="Q43" s="108"/>
      <c r="R43" s="109"/>
      <c r="S43" s="17"/>
      <c r="T43" s="108"/>
      <c r="U43" s="147"/>
      <c r="V43" s="17"/>
      <c r="W43" s="16"/>
      <c r="X43" s="41"/>
      <c r="Y43" s="114"/>
      <c r="Z43" s="115"/>
      <c r="AA43" s="32"/>
      <c r="AB43" s="5"/>
      <c r="AC43" s="5"/>
      <c r="AD43" s="5"/>
      <c r="AE43" s="5"/>
      <c r="AF43" s="155"/>
      <c r="AG43" s="166"/>
      <c r="AH43" s="165"/>
      <c r="AI43" s="166"/>
      <c r="AJ43" s="165"/>
      <c r="AK43" s="165"/>
      <c r="AL43" s="165"/>
      <c r="AM43" s="115"/>
      <c r="AN43" s="172"/>
      <c r="AO43" s="165"/>
      <c r="AP43" s="165"/>
      <c r="AQ43" s="165"/>
      <c r="AR43" s="165"/>
      <c r="AS43" s="115"/>
      <c r="AT43" s="155"/>
      <c r="AU43" s="109"/>
      <c r="AV43" s="109"/>
      <c r="AW43" s="17"/>
    </row>
    <row r="44" spans="1:49" ht="21.6" customHeight="1" outlineLevel="1">
      <c r="A44" s="24"/>
      <c r="B44" s="24"/>
      <c r="C44" s="25"/>
      <c r="D44" s="26"/>
      <c r="E44" s="27"/>
      <c r="F44" s="48"/>
      <c r="G44" s="4" t="str">
        <v/>
      </c>
      <c r="H44" s="48"/>
      <c r="I44" s="36">
        <v>0</v>
      </c>
      <c r="J44" s="37">
        <f>ROUNDDOWN(I44*1.1,0)</f>
        <v>0</v>
      </c>
      <c r="K44" s="36">
        <f>IFERROR((I44*H44),"")</f>
        <v>0</v>
      </c>
      <c r="L44" s="37">
        <f>IFERROR((J44*H44),"")</f>
        <v>0</v>
      </c>
      <c r="M44" s="16"/>
      <c r="N44" s="17"/>
      <c r="O44" s="103"/>
      <c r="P44" s="17"/>
      <c r="Q44" s="108"/>
      <c r="R44" s="109"/>
      <c r="S44" s="17"/>
      <c r="T44" s="108"/>
      <c r="U44" s="147"/>
      <c r="V44" s="17"/>
      <c r="W44" s="16"/>
      <c r="X44" s="41"/>
      <c r="Y44" s="114"/>
      <c r="Z44" s="115"/>
      <c r="AA44" s="32"/>
      <c r="AB44" s="5"/>
      <c r="AC44" s="5"/>
      <c r="AD44" s="5"/>
      <c r="AE44" s="5"/>
      <c r="AF44" s="155"/>
      <c r="AG44" s="166"/>
      <c r="AH44" s="165"/>
      <c r="AI44" s="166"/>
      <c r="AJ44" s="165"/>
      <c r="AK44" s="165"/>
      <c r="AL44" s="165"/>
      <c r="AM44" s="115"/>
      <c r="AN44" s="172"/>
      <c r="AO44" s="165"/>
      <c r="AP44" s="165"/>
      <c r="AQ44" s="165"/>
      <c r="AR44" s="165"/>
      <c r="AS44" s="115"/>
      <c r="AT44" s="155"/>
      <c r="AU44" s="109"/>
      <c r="AV44" s="109"/>
      <c r="AW44" s="17"/>
    </row>
    <row r="45" spans="1:49" ht="21.6" customHeight="1" outlineLevel="1">
      <c r="A45" s="28"/>
      <c r="B45" s="28"/>
      <c r="C45" s="29"/>
      <c r="D45" s="30"/>
      <c r="E45" s="31"/>
      <c r="F45" s="49"/>
      <c r="G45" s="4" t="str">
        <v/>
      </c>
      <c r="H45" s="49"/>
      <c r="I45" s="36">
        <v>0</v>
      </c>
      <c r="J45" s="37">
        <f>ROUNDDOWN(I45*1.1,0)</f>
        <v>0</v>
      </c>
      <c r="K45" s="36">
        <f>IFERROR((I45*H45),"")</f>
        <v>0</v>
      </c>
      <c r="L45" s="37">
        <f>IFERROR((J45*H45),"")</f>
        <v>0</v>
      </c>
      <c r="M45" s="18"/>
      <c r="N45" s="19"/>
      <c r="O45" s="104"/>
      <c r="P45" s="19"/>
      <c r="Q45" s="110"/>
      <c r="R45" s="111"/>
      <c r="S45" s="19"/>
      <c r="T45" s="110"/>
      <c r="U45" s="149"/>
      <c r="V45" s="19"/>
      <c r="W45" s="18"/>
      <c r="X45" s="42"/>
      <c r="Y45" s="116"/>
      <c r="Z45" s="115"/>
      <c r="AA45" s="33"/>
      <c r="AB45" s="7"/>
      <c r="AC45" s="7"/>
      <c r="AD45" s="7"/>
      <c r="AE45" s="7"/>
      <c r="AF45" s="156"/>
      <c r="AG45" s="167"/>
      <c r="AH45" s="168"/>
      <c r="AI45" s="167"/>
      <c r="AJ45" s="168"/>
      <c r="AK45" s="168"/>
      <c r="AL45" s="168"/>
      <c r="AM45" s="117"/>
      <c r="AN45" s="173"/>
      <c r="AO45" s="168"/>
      <c r="AP45" s="168"/>
      <c r="AQ45" s="168"/>
      <c r="AR45" s="168"/>
      <c r="AS45" s="117"/>
      <c r="AT45" s="156"/>
      <c r="AU45" s="111"/>
      <c r="AV45" s="111"/>
      <c r="AW45" s="19"/>
    </row>
    <row r="46" spans="1:49" ht="29.65" customHeight="1">
      <c r="A46" s="8">
        <f>LENB(D46)</f>
        <v>0</v>
      </c>
      <c r="B46" s="8">
        <f>LENB(E46)</f>
        <v>0</v>
      </c>
      <c r="C46" s="46"/>
      <c r="D46" s="47"/>
      <c r="E46" s="205"/>
      <c r="F46" s="15"/>
      <c r="G46" s="14"/>
      <c r="H46" s="15"/>
      <c r="I46" s="20"/>
      <c r="J46" s="21"/>
      <c r="K46" s="44">
        <f>SUM(K47:K54)</f>
        <v>0</v>
      </c>
      <c r="L46" s="45">
        <f>SUM(L47:L54)</f>
        <v>0</v>
      </c>
      <c r="M46" s="105">
        <f>ROUNDUP(N46/1.1,0)</f>
        <v>0</v>
      </c>
      <c r="N46" s="51"/>
      <c r="O46" s="105">
        <f>ROUNDUP(P46/1.1,0)</f>
        <v>0</v>
      </c>
      <c r="P46" s="51"/>
      <c r="Q46" s="201" t="e">
        <f>1-(N46/L46)</f>
        <v>#DIV/0!</v>
      </c>
      <c r="R46" s="120">
        <f>K46-M46</f>
        <v>0</v>
      </c>
      <c r="S46" s="121">
        <f>L46-N46</f>
        <v>0</v>
      </c>
      <c r="T46" s="200" t="e">
        <f>1-(P46/N46)</f>
        <v>#DIV/0!</v>
      </c>
      <c r="U46" s="122">
        <f>M46-O46</f>
        <v>0</v>
      </c>
      <c r="V46" s="123">
        <f>N46-P46</f>
        <v>0</v>
      </c>
      <c r="W46" s="105">
        <f>ROUNDUP(X46/1.1,0)</f>
        <v>0</v>
      </c>
      <c r="X46" s="51"/>
      <c r="Y46" s="145"/>
      <c r="Z46" s="74"/>
      <c r="AA46" s="146"/>
      <c r="AB46" s="118"/>
      <c r="AC46" s="93"/>
      <c r="AD46" s="93"/>
      <c r="AE46" s="93"/>
      <c r="AF46" s="154"/>
      <c r="AG46" s="159"/>
      <c r="AH46" s="159"/>
      <c r="AI46" s="159"/>
      <c r="AJ46" s="160"/>
      <c r="AK46" s="159"/>
      <c r="AL46" s="159"/>
      <c r="AM46" s="161"/>
      <c r="AN46" s="154"/>
      <c r="AO46" s="159"/>
      <c r="AP46" s="159"/>
      <c r="AQ46" s="160"/>
      <c r="AR46" s="159"/>
      <c r="AS46" s="170"/>
      <c r="AT46" s="154"/>
      <c r="AU46" s="153"/>
      <c r="AV46" s="153"/>
      <c r="AW46" s="74"/>
    </row>
    <row r="47" spans="1:49" ht="21.6" customHeight="1" outlineLevel="1">
      <c r="A47" s="24"/>
      <c r="B47" s="24"/>
      <c r="C47" s="25"/>
      <c r="D47" s="26"/>
      <c r="E47" s="27"/>
      <c r="F47" s="48"/>
      <c r="G47" s="4" t="str">
        <v/>
      </c>
      <c r="H47" s="50"/>
      <c r="I47" s="36">
        <v>0</v>
      </c>
      <c r="J47" s="37">
        <f>ROUNDDOWN(I47*1.1,0)</f>
        <v>0</v>
      </c>
      <c r="K47" s="36">
        <f>IFERROR((I47*H47),"")</f>
        <v>0</v>
      </c>
      <c r="L47" s="37">
        <f>IFERROR((J47*H47),"")</f>
        <v>0</v>
      </c>
      <c r="M47" s="22"/>
      <c r="N47" s="23"/>
      <c r="O47" s="102"/>
      <c r="P47" s="23"/>
      <c r="Q47" s="106"/>
      <c r="R47" s="107"/>
      <c r="S47" s="23"/>
      <c r="T47" s="106"/>
      <c r="U47" s="148"/>
      <c r="V47" s="23"/>
      <c r="W47" s="22"/>
      <c r="X47" s="43"/>
      <c r="Y47" s="112"/>
      <c r="Z47" s="113"/>
      <c r="AA47" s="34"/>
      <c r="AB47" s="9"/>
      <c r="AC47" s="9"/>
      <c r="AD47" s="9"/>
      <c r="AE47" s="9"/>
      <c r="AF47" s="162"/>
      <c r="AG47" s="163"/>
      <c r="AH47" s="164"/>
      <c r="AI47" s="163"/>
      <c r="AJ47" s="164"/>
      <c r="AK47" s="164"/>
      <c r="AL47" s="164"/>
      <c r="AM47" s="113"/>
      <c r="AN47" s="171"/>
      <c r="AO47" s="164"/>
      <c r="AP47" s="164"/>
      <c r="AQ47" s="164"/>
      <c r="AR47" s="164"/>
      <c r="AS47" s="113"/>
      <c r="AT47" s="155"/>
      <c r="AU47" s="109"/>
      <c r="AV47" s="109"/>
      <c r="AW47" s="17"/>
    </row>
    <row r="48" spans="1:49" ht="21.6" customHeight="1" outlineLevel="1">
      <c r="A48" s="24"/>
      <c r="B48" s="24"/>
      <c r="C48" s="25"/>
      <c r="D48" s="26"/>
      <c r="E48" s="27"/>
      <c r="F48" s="48"/>
      <c r="G48" s="4" t="str">
        <v/>
      </c>
      <c r="H48" s="48"/>
      <c r="I48" s="36">
        <v>0</v>
      </c>
      <c r="J48" s="37">
        <f>ROUNDDOWN(I48*1.1,0)</f>
        <v>0</v>
      </c>
      <c r="K48" s="36">
        <f>IFERROR((I48*H48),"")</f>
        <v>0</v>
      </c>
      <c r="L48" s="37">
        <f>IFERROR((J48*H48),"")</f>
        <v>0</v>
      </c>
      <c r="M48" s="16"/>
      <c r="N48" s="17"/>
      <c r="O48" s="103"/>
      <c r="P48" s="17"/>
      <c r="Q48" s="108"/>
      <c r="R48" s="109"/>
      <c r="S48" s="17"/>
      <c r="T48" s="108"/>
      <c r="U48" s="147"/>
      <c r="V48" s="17"/>
      <c r="W48" s="16"/>
      <c r="X48" s="41"/>
      <c r="Y48" s="114"/>
      <c r="Z48" s="115"/>
      <c r="AA48" s="32"/>
      <c r="AB48" s="5"/>
      <c r="AC48" s="5"/>
      <c r="AD48" s="5"/>
      <c r="AE48" s="5"/>
      <c r="AF48" s="155"/>
      <c r="AG48" s="166"/>
      <c r="AH48" s="165"/>
      <c r="AI48" s="166"/>
      <c r="AJ48" s="165"/>
      <c r="AK48" s="165"/>
      <c r="AL48" s="165"/>
      <c r="AM48" s="115"/>
      <c r="AN48" s="172"/>
      <c r="AO48" s="165"/>
      <c r="AP48" s="165"/>
      <c r="AQ48" s="165"/>
      <c r="AR48" s="165"/>
      <c r="AS48" s="115"/>
      <c r="AT48" s="155"/>
      <c r="AU48" s="109"/>
      <c r="AV48" s="109"/>
      <c r="AW48" s="17"/>
    </row>
    <row r="49" spans="1:49" ht="21.6" customHeight="1" outlineLevel="1">
      <c r="A49" s="24"/>
      <c r="B49" s="24"/>
      <c r="C49" s="25"/>
      <c r="D49" s="26"/>
      <c r="E49" s="27"/>
      <c r="F49" s="48"/>
      <c r="G49" s="4" t="str">
        <v/>
      </c>
      <c r="H49" s="48"/>
      <c r="I49" s="36">
        <v>0</v>
      </c>
      <c r="J49" s="37">
        <f>ROUNDDOWN(I49*1.1,0)</f>
        <v>0</v>
      </c>
      <c r="K49" s="36">
        <f>IFERROR((I49*H49),"")</f>
        <v>0</v>
      </c>
      <c r="L49" s="37">
        <f>IFERROR((J49*H49),"")</f>
        <v>0</v>
      </c>
      <c r="M49" s="16"/>
      <c r="N49" s="17"/>
      <c r="O49" s="103"/>
      <c r="P49" s="17"/>
      <c r="Q49" s="108"/>
      <c r="R49" s="109"/>
      <c r="S49" s="17"/>
      <c r="T49" s="108"/>
      <c r="U49" s="147"/>
      <c r="V49" s="17"/>
      <c r="W49" s="16"/>
      <c r="X49" s="41"/>
      <c r="Y49" s="114"/>
      <c r="Z49" s="115"/>
      <c r="AA49" s="32"/>
      <c r="AB49" s="5"/>
      <c r="AC49" s="5"/>
      <c r="AD49" s="5"/>
      <c r="AE49" s="5"/>
      <c r="AF49" s="155"/>
      <c r="AG49" s="166"/>
      <c r="AH49" s="165"/>
      <c r="AI49" s="166"/>
      <c r="AJ49" s="165"/>
      <c r="AK49" s="165"/>
      <c r="AL49" s="165"/>
      <c r="AM49" s="115"/>
      <c r="AN49" s="172"/>
      <c r="AO49" s="165"/>
      <c r="AP49" s="165"/>
      <c r="AQ49" s="165"/>
      <c r="AR49" s="165"/>
      <c r="AS49" s="115"/>
      <c r="AT49" s="155"/>
      <c r="AU49" s="109"/>
      <c r="AV49" s="109"/>
      <c r="AW49" s="17"/>
    </row>
    <row r="50" spans="1:49" ht="21.6" customHeight="1" outlineLevel="1">
      <c r="A50" s="24"/>
      <c r="B50" s="24"/>
      <c r="C50" s="25"/>
      <c r="D50" s="26"/>
      <c r="E50" s="27"/>
      <c r="F50" s="48"/>
      <c r="G50" s="4" t="str">
        <v/>
      </c>
      <c r="H50" s="48"/>
      <c r="I50" s="36">
        <v>0</v>
      </c>
      <c r="J50" s="37">
        <f>ROUNDDOWN(I50*1.1,0)</f>
        <v>0</v>
      </c>
      <c r="K50" s="36">
        <f>IFERROR((I50*H50),"")</f>
        <v>0</v>
      </c>
      <c r="L50" s="37">
        <f>IFERROR((J50*H50),"")</f>
        <v>0</v>
      </c>
      <c r="M50" s="16"/>
      <c r="N50" s="17"/>
      <c r="O50" s="103"/>
      <c r="P50" s="17"/>
      <c r="Q50" s="108"/>
      <c r="R50" s="109"/>
      <c r="S50" s="17"/>
      <c r="T50" s="108"/>
      <c r="U50" s="147"/>
      <c r="V50" s="17"/>
      <c r="W50" s="16"/>
      <c r="X50" s="41"/>
      <c r="Y50" s="114"/>
      <c r="Z50" s="115"/>
      <c r="AA50" s="32"/>
      <c r="AB50" s="5"/>
      <c r="AC50" s="5"/>
      <c r="AD50" s="5"/>
      <c r="AE50" s="5"/>
      <c r="AF50" s="155"/>
      <c r="AG50" s="166"/>
      <c r="AH50" s="165"/>
      <c r="AI50" s="166"/>
      <c r="AJ50" s="165"/>
      <c r="AK50" s="165"/>
      <c r="AL50" s="165"/>
      <c r="AM50" s="115"/>
      <c r="AN50" s="172"/>
      <c r="AO50" s="165"/>
      <c r="AP50" s="165"/>
      <c r="AQ50" s="165"/>
      <c r="AR50" s="165"/>
      <c r="AS50" s="115"/>
      <c r="AT50" s="155"/>
      <c r="AU50" s="109"/>
      <c r="AV50" s="109"/>
      <c r="AW50" s="17"/>
    </row>
    <row r="51" spans="1:49" ht="21.6" customHeight="1" outlineLevel="1">
      <c r="A51" s="24"/>
      <c r="B51" s="24"/>
      <c r="C51" s="25"/>
      <c r="D51" s="26"/>
      <c r="E51" s="27"/>
      <c r="F51" s="48"/>
      <c r="G51" s="4" t="str">
        <v/>
      </c>
      <c r="H51" s="48"/>
      <c r="I51" s="36">
        <v>0</v>
      </c>
      <c r="J51" s="37">
        <f>ROUNDDOWN(I51*1.1,0)</f>
        <v>0</v>
      </c>
      <c r="K51" s="36">
        <f>IFERROR((I51*H51),"")</f>
        <v>0</v>
      </c>
      <c r="L51" s="37">
        <f>IFERROR((J51*H51),"")</f>
        <v>0</v>
      </c>
      <c r="M51" s="16"/>
      <c r="N51" s="17"/>
      <c r="O51" s="103"/>
      <c r="P51" s="17"/>
      <c r="Q51" s="108"/>
      <c r="R51" s="109"/>
      <c r="S51" s="17"/>
      <c r="T51" s="108"/>
      <c r="U51" s="147"/>
      <c r="V51" s="17"/>
      <c r="W51" s="16"/>
      <c r="X51" s="41"/>
      <c r="Y51" s="114"/>
      <c r="Z51" s="115"/>
      <c r="AA51" s="32"/>
      <c r="AB51" s="5"/>
      <c r="AC51" s="5"/>
      <c r="AD51" s="5"/>
      <c r="AE51" s="5"/>
      <c r="AF51" s="155"/>
      <c r="AG51" s="166"/>
      <c r="AH51" s="165"/>
      <c r="AI51" s="166"/>
      <c r="AJ51" s="165"/>
      <c r="AK51" s="165"/>
      <c r="AL51" s="165"/>
      <c r="AM51" s="115"/>
      <c r="AN51" s="172"/>
      <c r="AO51" s="165"/>
      <c r="AP51" s="165"/>
      <c r="AQ51" s="165"/>
      <c r="AR51" s="165"/>
      <c r="AS51" s="115"/>
      <c r="AT51" s="155"/>
      <c r="AU51" s="109"/>
      <c r="AV51" s="109"/>
      <c r="AW51" s="17"/>
    </row>
    <row r="52" spans="1:49" ht="21.6" customHeight="1" outlineLevel="1">
      <c r="A52" s="24"/>
      <c r="B52" s="24"/>
      <c r="C52" s="25"/>
      <c r="D52" s="26"/>
      <c r="E52" s="27"/>
      <c r="F52" s="48"/>
      <c r="G52" s="4" t="str">
        <v/>
      </c>
      <c r="H52" s="48"/>
      <c r="I52" s="36">
        <v>0</v>
      </c>
      <c r="J52" s="37">
        <f>ROUNDDOWN(I52*1.1,0)</f>
        <v>0</v>
      </c>
      <c r="K52" s="36">
        <f>IFERROR((I52*H52),"")</f>
        <v>0</v>
      </c>
      <c r="L52" s="37">
        <f>IFERROR((J52*H52),"")</f>
        <v>0</v>
      </c>
      <c r="M52" s="16"/>
      <c r="N52" s="17"/>
      <c r="O52" s="103"/>
      <c r="P52" s="17"/>
      <c r="Q52" s="108"/>
      <c r="R52" s="109"/>
      <c r="S52" s="17"/>
      <c r="T52" s="108"/>
      <c r="U52" s="147"/>
      <c r="V52" s="17"/>
      <c r="W52" s="16"/>
      <c r="X52" s="41"/>
      <c r="Y52" s="114"/>
      <c r="Z52" s="115"/>
      <c r="AA52" s="32"/>
      <c r="AB52" s="5"/>
      <c r="AC52" s="5"/>
      <c r="AD52" s="5"/>
      <c r="AE52" s="5"/>
      <c r="AF52" s="155"/>
      <c r="AG52" s="166"/>
      <c r="AH52" s="165"/>
      <c r="AI52" s="166"/>
      <c r="AJ52" s="165"/>
      <c r="AK52" s="165"/>
      <c r="AL52" s="165"/>
      <c r="AM52" s="115"/>
      <c r="AN52" s="172"/>
      <c r="AO52" s="165"/>
      <c r="AP52" s="165"/>
      <c r="AQ52" s="165"/>
      <c r="AR52" s="165"/>
      <c r="AS52" s="115"/>
      <c r="AT52" s="155"/>
      <c r="AU52" s="109"/>
      <c r="AV52" s="109"/>
      <c r="AW52" s="17"/>
    </row>
    <row r="53" spans="1:49" ht="21.6" customHeight="1" outlineLevel="1">
      <c r="A53" s="24"/>
      <c r="B53" s="24"/>
      <c r="C53" s="25"/>
      <c r="D53" s="26"/>
      <c r="E53" s="27"/>
      <c r="F53" s="48"/>
      <c r="G53" s="4" t="str">
        <v/>
      </c>
      <c r="H53" s="48"/>
      <c r="I53" s="36">
        <v>0</v>
      </c>
      <c r="J53" s="37">
        <f>ROUNDDOWN(I53*1.1,0)</f>
        <v>0</v>
      </c>
      <c r="K53" s="36">
        <f>IFERROR((I53*H53),"")</f>
        <v>0</v>
      </c>
      <c r="L53" s="37">
        <f>IFERROR((J53*H53),"")</f>
        <v>0</v>
      </c>
      <c r="M53" s="16"/>
      <c r="N53" s="17"/>
      <c r="O53" s="103"/>
      <c r="P53" s="17"/>
      <c r="Q53" s="108"/>
      <c r="R53" s="109"/>
      <c r="S53" s="17"/>
      <c r="T53" s="108"/>
      <c r="U53" s="147"/>
      <c r="V53" s="17"/>
      <c r="W53" s="16"/>
      <c r="X53" s="41"/>
      <c r="Y53" s="114"/>
      <c r="Z53" s="115"/>
      <c r="AA53" s="32"/>
      <c r="AB53" s="5"/>
      <c r="AC53" s="5"/>
      <c r="AD53" s="5"/>
      <c r="AE53" s="5"/>
      <c r="AF53" s="155"/>
      <c r="AG53" s="166"/>
      <c r="AH53" s="165"/>
      <c r="AI53" s="166"/>
      <c r="AJ53" s="165"/>
      <c r="AK53" s="165"/>
      <c r="AL53" s="165"/>
      <c r="AM53" s="115"/>
      <c r="AN53" s="172"/>
      <c r="AO53" s="165"/>
      <c r="AP53" s="165"/>
      <c r="AQ53" s="165"/>
      <c r="AR53" s="165"/>
      <c r="AS53" s="115"/>
      <c r="AT53" s="155"/>
      <c r="AU53" s="109"/>
      <c r="AV53" s="109"/>
      <c r="AW53" s="17"/>
    </row>
    <row r="54" spans="1:49" ht="21.6" customHeight="1" outlineLevel="1">
      <c r="A54" s="28"/>
      <c r="B54" s="28"/>
      <c r="C54" s="29"/>
      <c r="D54" s="30"/>
      <c r="E54" s="31"/>
      <c r="F54" s="49"/>
      <c r="G54" s="4" t="str">
        <v/>
      </c>
      <c r="H54" s="49"/>
      <c r="I54" s="36">
        <v>0</v>
      </c>
      <c r="J54" s="37">
        <f>ROUNDDOWN(I54*1.1,0)</f>
        <v>0</v>
      </c>
      <c r="K54" s="36">
        <f>IFERROR((I54*H54),"")</f>
        <v>0</v>
      </c>
      <c r="L54" s="37">
        <f>IFERROR((J54*H54),"")</f>
        <v>0</v>
      </c>
      <c r="M54" s="18"/>
      <c r="N54" s="19"/>
      <c r="O54" s="104"/>
      <c r="P54" s="19"/>
      <c r="Q54" s="110"/>
      <c r="R54" s="111"/>
      <c r="S54" s="19"/>
      <c r="T54" s="110"/>
      <c r="U54" s="149"/>
      <c r="V54" s="19"/>
      <c r="W54" s="18"/>
      <c r="X54" s="42"/>
      <c r="Y54" s="116"/>
      <c r="Z54" s="115"/>
      <c r="AA54" s="33"/>
      <c r="AB54" s="7"/>
      <c r="AC54" s="7"/>
      <c r="AD54" s="7"/>
      <c r="AE54" s="7"/>
      <c r="AF54" s="156"/>
      <c r="AG54" s="167"/>
      <c r="AH54" s="168"/>
      <c r="AI54" s="167"/>
      <c r="AJ54" s="168"/>
      <c r="AK54" s="168"/>
      <c r="AL54" s="168"/>
      <c r="AM54" s="117"/>
      <c r="AN54" s="173"/>
      <c r="AO54" s="168"/>
      <c r="AP54" s="168"/>
      <c r="AQ54" s="168"/>
      <c r="AR54" s="168"/>
      <c r="AS54" s="117"/>
      <c r="AT54" s="156"/>
      <c r="AU54" s="111"/>
      <c r="AV54" s="111"/>
      <c r="AW54" s="19"/>
    </row>
    <row r="55" spans="1:49" ht="29.65" customHeight="1">
      <c r="A55" s="8">
        <f>LENB(D55)</f>
        <v>0</v>
      </c>
      <c r="B55" s="8">
        <f>LENB(E55)</f>
        <v>0</v>
      </c>
      <c r="C55" s="46"/>
      <c r="D55" s="47"/>
      <c r="E55" s="205"/>
      <c r="F55" s="15"/>
      <c r="G55" s="14"/>
      <c r="H55" s="15"/>
      <c r="I55" s="20"/>
      <c r="J55" s="21"/>
      <c r="K55" s="44">
        <f>SUM(K56:K63)</f>
        <v>0</v>
      </c>
      <c r="L55" s="45">
        <f>SUM(L56:L63)</f>
        <v>0</v>
      </c>
      <c r="M55" s="105">
        <f>ROUNDUP(N55/1.1,0)</f>
        <v>0</v>
      </c>
      <c r="N55" s="51"/>
      <c r="O55" s="105">
        <f>ROUNDUP(P55/1.1,0)</f>
        <v>0</v>
      </c>
      <c r="P55" s="51"/>
      <c r="Q55" s="201" t="e">
        <f>1-(N55/L55)</f>
        <v>#DIV/0!</v>
      </c>
      <c r="R55" s="120">
        <f>K55-M55</f>
        <v>0</v>
      </c>
      <c r="S55" s="121">
        <f>L55-N55</f>
        <v>0</v>
      </c>
      <c r="T55" s="200" t="e">
        <f>1-(P55/N55)</f>
        <v>#DIV/0!</v>
      </c>
      <c r="U55" s="122">
        <f>M55-O55</f>
        <v>0</v>
      </c>
      <c r="V55" s="123">
        <f>N55-P55</f>
        <v>0</v>
      </c>
      <c r="W55" s="105">
        <f>ROUNDUP(X55/1.1,0)</f>
        <v>0</v>
      </c>
      <c r="X55" s="51"/>
      <c r="Y55" s="145"/>
      <c r="Z55" s="74"/>
      <c r="AA55" s="146"/>
      <c r="AB55" s="118"/>
      <c r="AC55" s="93"/>
      <c r="AD55" s="93"/>
      <c r="AE55" s="93"/>
      <c r="AF55" s="154"/>
      <c r="AG55" s="159"/>
      <c r="AH55" s="159"/>
      <c r="AI55" s="159"/>
      <c r="AJ55" s="160"/>
      <c r="AK55" s="159"/>
      <c r="AL55" s="159"/>
      <c r="AM55" s="161"/>
      <c r="AN55" s="154"/>
      <c r="AO55" s="159"/>
      <c r="AP55" s="159"/>
      <c r="AQ55" s="160"/>
      <c r="AR55" s="159"/>
      <c r="AS55" s="170"/>
      <c r="AT55" s="154"/>
      <c r="AU55" s="153"/>
      <c r="AV55" s="153"/>
      <c r="AW55" s="74"/>
    </row>
    <row r="56" spans="1:49" ht="21.6" customHeight="1" outlineLevel="1">
      <c r="A56" s="24"/>
      <c r="B56" s="24"/>
      <c r="C56" s="25"/>
      <c r="D56" s="26"/>
      <c r="E56" s="27"/>
      <c r="F56" s="48"/>
      <c r="G56" s="4" t="str">
        <v/>
      </c>
      <c r="H56" s="50"/>
      <c r="I56" s="36">
        <v>0</v>
      </c>
      <c r="J56" s="37">
        <f>ROUNDDOWN(I56*1.1,0)</f>
        <v>0</v>
      </c>
      <c r="K56" s="36">
        <f>IFERROR((I56*H56),"")</f>
        <v>0</v>
      </c>
      <c r="L56" s="37">
        <f>IFERROR((J56*H56),"")</f>
        <v>0</v>
      </c>
      <c r="M56" s="22"/>
      <c r="N56" s="23"/>
      <c r="O56" s="102"/>
      <c r="P56" s="23"/>
      <c r="Q56" s="106"/>
      <c r="R56" s="107"/>
      <c r="S56" s="23"/>
      <c r="T56" s="106"/>
      <c r="U56" s="148"/>
      <c r="V56" s="23"/>
      <c r="W56" s="22"/>
      <c r="X56" s="43"/>
      <c r="Y56" s="112"/>
      <c r="Z56" s="113"/>
      <c r="AA56" s="34"/>
      <c r="AB56" s="9"/>
      <c r="AC56" s="9"/>
      <c r="AD56" s="9"/>
      <c r="AE56" s="9"/>
      <c r="AF56" s="162"/>
      <c r="AG56" s="163"/>
      <c r="AH56" s="164"/>
      <c r="AI56" s="163"/>
      <c r="AJ56" s="164"/>
      <c r="AK56" s="164"/>
      <c r="AL56" s="164"/>
      <c r="AM56" s="113"/>
      <c r="AN56" s="171"/>
      <c r="AO56" s="164"/>
      <c r="AP56" s="164"/>
      <c r="AQ56" s="164"/>
      <c r="AR56" s="164"/>
      <c r="AS56" s="113"/>
      <c r="AT56" s="155"/>
      <c r="AU56" s="109"/>
      <c r="AV56" s="109"/>
      <c r="AW56" s="17"/>
    </row>
    <row r="57" spans="1:49" ht="21.6" customHeight="1" outlineLevel="1">
      <c r="A57" s="24"/>
      <c r="B57" s="24"/>
      <c r="C57" s="25"/>
      <c r="D57" s="26"/>
      <c r="E57" s="27"/>
      <c r="F57" s="48"/>
      <c r="G57" s="4" t="str">
        <v/>
      </c>
      <c r="H57" s="48"/>
      <c r="I57" s="36">
        <v>0</v>
      </c>
      <c r="J57" s="37">
        <f>ROUNDDOWN(I57*1.1,0)</f>
        <v>0</v>
      </c>
      <c r="K57" s="36">
        <f>IFERROR((I57*H57),"")</f>
        <v>0</v>
      </c>
      <c r="L57" s="37">
        <f>IFERROR((J57*H57),"")</f>
        <v>0</v>
      </c>
      <c r="M57" s="16"/>
      <c r="N57" s="17"/>
      <c r="O57" s="103"/>
      <c r="P57" s="17"/>
      <c r="Q57" s="108"/>
      <c r="R57" s="109"/>
      <c r="S57" s="17"/>
      <c r="T57" s="108"/>
      <c r="U57" s="147"/>
      <c r="V57" s="17"/>
      <c r="W57" s="16"/>
      <c r="X57" s="41"/>
      <c r="Y57" s="114"/>
      <c r="Z57" s="115"/>
      <c r="AA57" s="32"/>
      <c r="AB57" s="5"/>
      <c r="AC57" s="5"/>
      <c r="AD57" s="5"/>
      <c r="AE57" s="5"/>
      <c r="AF57" s="155"/>
      <c r="AG57" s="166"/>
      <c r="AH57" s="165"/>
      <c r="AI57" s="166"/>
      <c r="AJ57" s="165"/>
      <c r="AK57" s="165"/>
      <c r="AL57" s="165"/>
      <c r="AM57" s="115"/>
      <c r="AN57" s="172"/>
      <c r="AO57" s="165"/>
      <c r="AP57" s="165"/>
      <c r="AQ57" s="165"/>
      <c r="AR57" s="165"/>
      <c r="AS57" s="115"/>
      <c r="AT57" s="155"/>
      <c r="AU57" s="109"/>
      <c r="AV57" s="109"/>
      <c r="AW57" s="17"/>
    </row>
    <row r="58" spans="1:49" ht="21.6" customHeight="1" outlineLevel="1">
      <c r="A58" s="24"/>
      <c r="B58" s="24"/>
      <c r="C58" s="25"/>
      <c r="D58" s="26"/>
      <c r="E58" s="27"/>
      <c r="F58" s="48"/>
      <c r="G58" s="4" t="str">
        <v/>
      </c>
      <c r="H58" s="48"/>
      <c r="I58" s="36">
        <v>0</v>
      </c>
      <c r="J58" s="37">
        <f>ROUNDDOWN(I58*1.1,0)</f>
        <v>0</v>
      </c>
      <c r="K58" s="36">
        <f>IFERROR((I58*H58),"")</f>
        <v>0</v>
      </c>
      <c r="L58" s="37">
        <f>IFERROR((J58*H58),"")</f>
        <v>0</v>
      </c>
      <c r="M58" s="16"/>
      <c r="N58" s="17"/>
      <c r="O58" s="103"/>
      <c r="P58" s="17"/>
      <c r="Q58" s="108"/>
      <c r="R58" s="109"/>
      <c r="S58" s="17"/>
      <c r="T58" s="108"/>
      <c r="U58" s="147"/>
      <c r="V58" s="17"/>
      <c r="W58" s="16"/>
      <c r="X58" s="41"/>
      <c r="Y58" s="114"/>
      <c r="Z58" s="115"/>
      <c r="AA58" s="32"/>
      <c r="AB58" s="5"/>
      <c r="AC58" s="5"/>
      <c r="AD58" s="5"/>
      <c r="AE58" s="5"/>
      <c r="AF58" s="155"/>
      <c r="AG58" s="166"/>
      <c r="AH58" s="165"/>
      <c r="AI58" s="166"/>
      <c r="AJ58" s="165"/>
      <c r="AK58" s="165"/>
      <c r="AL58" s="165"/>
      <c r="AM58" s="115"/>
      <c r="AN58" s="172"/>
      <c r="AO58" s="165"/>
      <c r="AP58" s="165"/>
      <c r="AQ58" s="165"/>
      <c r="AR58" s="165"/>
      <c r="AS58" s="115"/>
      <c r="AT58" s="155"/>
      <c r="AU58" s="109"/>
      <c r="AV58" s="109"/>
      <c r="AW58" s="17"/>
    </row>
    <row r="59" spans="1:49" ht="21.6" customHeight="1" outlineLevel="1">
      <c r="A59" s="24"/>
      <c r="B59" s="24"/>
      <c r="C59" s="25"/>
      <c r="D59" s="26"/>
      <c r="E59" s="27"/>
      <c r="F59" s="48"/>
      <c r="G59" s="4" t="str">
        <v/>
      </c>
      <c r="H59" s="48"/>
      <c r="I59" s="36">
        <v>0</v>
      </c>
      <c r="J59" s="37">
        <f>ROUNDDOWN(I59*1.1,0)</f>
        <v>0</v>
      </c>
      <c r="K59" s="36">
        <f>IFERROR((I59*H59),"")</f>
        <v>0</v>
      </c>
      <c r="L59" s="37">
        <f>IFERROR((J59*H59),"")</f>
        <v>0</v>
      </c>
      <c r="M59" s="16"/>
      <c r="N59" s="17"/>
      <c r="O59" s="103"/>
      <c r="P59" s="17"/>
      <c r="Q59" s="108"/>
      <c r="R59" s="109"/>
      <c r="S59" s="17"/>
      <c r="T59" s="108"/>
      <c r="U59" s="147"/>
      <c r="V59" s="17"/>
      <c r="W59" s="16"/>
      <c r="X59" s="41"/>
      <c r="Y59" s="114"/>
      <c r="Z59" s="115"/>
      <c r="AA59" s="32"/>
      <c r="AB59" s="5"/>
      <c r="AC59" s="5"/>
      <c r="AD59" s="5"/>
      <c r="AE59" s="5"/>
      <c r="AF59" s="155"/>
      <c r="AG59" s="166"/>
      <c r="AH59" s="165"/>
      <c r="AI59" s="166"/>
      <c r="AJ59" s="165"/>
      <c r="AK59" s="165"/>
      <c r="AL59" s="165"/>
      <c r="AM59" s="115"/>
      <c r="AN59" s="172"/>
      <c r="AO59" s="165"/>
      <c r="AP59" s="165"/>
      <c r="AQ59" s="165"/>
      <c r="AR59" s="165"/>
      <c r="AS59" s="115"/>
      <c r="AT59" s="155"/>
      <c r="AU59" s="109"/>
      <c r="AV59" s="109"/>
      <c r="AW59" s="17"/>
    </row>
    <row r="60" spans="1:49" ht="21.6" customHeight="1" outlineLevel="1">
      <c r="A60" s="24"/>
      <c r="B60" s="24"/>
      <c r="C60" s="25"/>
      <c r="D60" s="26"/>
      <c r="E60" s="27"/>
      <c r="F60" s="48"/>
      <c r="G60" s="4" t="str">
        <v/>
      </c>
      <c r="H60" s="48"/>
      <c r="I60" s="36">
        <v>0</v>
      </c>
      <c r="J60" s="37">
        <f>ROUNDDOWN(I60*1.1,0)</f>
        <v>0</v>
      </c>
      <c r="K60" s="36">
        <f>IFERROR((I60*H60),"")</f>
        <v>0</v>
      </c>
      <c r="L60" s="37">
        <f>IFERROR((J60*H60),"")</f>
        <v>0</v>
      </c>
      <c r="M60" s="16"/>
      <c r="N60" s="17"/>
      <c r="O60" s="103"/>
      <c r="P60" s="17"/>
      <c r="Q60" s="108"/>
      <c r="R60" s="109"/>
      <c r="S60" s="17"/>
      <c r="T60" s="108"/>
      <c r="U60" s="147"/>
      <c r="V60" s="17"/>
      <c r="W60" s="16"/>
      <c r="X60" s="41"/>
      <c r="Y60" s="114"/>
      <c r="Z60" s="115"/>
      <c r="AA60" s="32"/>
      <c r="AB60" s="5"/>
      <c r="AC60" s="5"/>
      <c r="AD60" s="5"/>
      <c r="AE60" s="5"/>
      <c r="AF60" s="155"/>
      <c r="AG60" s="166"/>
      <c r="AH60" s="165"/>
      <c r="AI60" s="166"/>
      <c r="AJ60" s="165"/>
      <c r="AK60" s="165"/>
      <c r="AL60" s="165"/>
      <c r="AM60" s="115"/>
      <c r="AN60" s="172"/>
      <c r="AO60" s="165"/>
      <c r="AP60" s="165"/>
      <c r="AQ60" s="165"/>
      <c r="AR60" s="165"/>
      <c r="AS60" s="115"/>
      <c r="AT60" s="155"/>
      <c r="AU60" s="109"/>
      <c r="AV60" s="109"/>
      <c r="AW60" s="17"/>
    </row>
    <row r="61" spans="1:49" ht="21.6" customHeight="1" outlineLevel="1">
      <c r="A61" s="24"/>
      <c r="B61" s="24"/>
      <c r="C61" s="25"/>
      <c r="D61" s="26"/>
      <c r="E61" s="27"/>
      <c r="F61" s="48"/>
      <c r="G61" s="4" t="str">
        <v/>
      </c>
      <c r="H61" s="48"/>
      <c r="I61" s="36">
        <v>0</v>
      </c>
      <c r="J61" s="37">
        <f>ROUNDDOWN(I61*1.1,0)</f>
        <v>0</v>
      </c>
      <c r="K61" s="36">
        <f>IFERROR((I61*H61),"")</f>
        <v>0</v>
      </c>
      <c r="L61" s="37">
        <f>IFERROR((J61*H61),"")</f>
        <v>0</v>
      </c>
      <c r="M61" s="16"/>
      <c r="N61" s="17"/>
      <c r="O61" s="103"/>
      <c r="P61" s="17"/>
      <c r="Q61" s="108"/>
      <c r="R61" s="109"/>
      <c r="S61" s="17"/>
      <c r="T61" s="108"/>
      <c r="U61" s="147"/>
      <c r="V61" s="17"/>
      <c r="W61" s="16"/>
      <c r="X61" s="41"/>
      <c r="Y61" s="114"/>
      <c r="Z61" s="115"/>
      <c r="AA61" s="32"/>
      <c r="AB61" s="5"/>
      <c r="AC61" s="5"/>
      <c r="AD61" s="5"/>
      <c r="AE61" s="5"/>
      <c r="AF61" s="155"/>
      <c r="AG61" s="166"/>
      <c r="AH61" s="165"/>
      <c r="AI61" s="166"/>
      <c r="AJ61" s="165"/>
      <c r="AK61" s="165"/>
      <c r="AL61" s="165"/>
      <c r="AM61" s="115"/>
      <c r="AN61" s="172"/>
      <c r="AO61" s="165"/>
      <c r="AP61" s="165"/>
      <c r="AQ61" s="165"/>
      <c r="AR61" s="165"/>
      <c r="AS61" s="115"/>
      <c r="AT61" s="155"/>
      <c r="AU61" s="109"/>
      <c r="AV61" s="109"/>
      <c r="AW61" s="17"/>
    </row>
    <row r="62" spans="1:49" ht="21.6" customHeight="1" outlineLevel="1">
      <c r="A62" s="24"/>
      <c r="B62" s="24"/>
      <c r="C62" s="25"/>
      <c r="D62" s="26"/>
      <c r="E62" s="27"/>
      <c r="F62" s="48"/>
      <c r="G62" s="4" t="str">
        <v/>
      </c>
      <c r="H62" s="48"/>
      <c r="I62" s="36">
        <v>0</v>
      </c>
      <c r="J62" s="37">
        <f>ROUNDDOWN(I62*1.1,0)</f>
        <v>0</v>
      </c>
      <c r="K62" s="36">
        <f>IFERROR((I62*H62),"")</f>
        <v>0</v>
      </c>
      <c r="L62" s="37">
        <f>IFERROR((J62*H62),"")</f>
        <v>0</v>
      </c>
      <c r="M62" s="16"/>
      <c r="N62" s="17"/>
      <c r="O62" s="103"/>
      <c r="P62" s="17"/>
      <c r="Q62" s="108"/>
      <c r="R62" s="109"/>
      <c r="S62" s="17"/>
      <c r="T62" s="108"/>
      <c r="U62" s="147"/>
      <c r="V62" s="17"/>
      <c r="W62" s="16"/>
      <c r="X62" s="41"/>
      <c r="Y62" s="114"/>
      <c r="Z62" s="115"/>
      <c r="AA62" s="32"/>
      <c r="AB62" s="5"/>
      <c r="AC62" s="5"/>
      <c r="AD62" s="5"/>
      <c r="AE62" s="5"/>
      <c r="AF62" s="155"/>
      <c r="AG62" s="166"/>
      <c r="AH62" s="165"/>
      <c r="AI62" s="166"/>
      <c r="AJ62" s="165"/>
      <c r="AK62" s="165"/>
      <c r="AL62" s="165"/>
      <c r="AM62" s="115"/>
      <c r="AN62" s="172"/>
      <c r="AO62" s="165"/>
      <c r="AP62" s="165"/>
      <c r="AQ62" s="165"/>
      <c r="AR62" s="165"/>
      <c r="AS62" s="115"/>
      <c r="AT62" s="155"/>
      <c r="AU62" s="109"/>
      <c r="AV62" s="109"/>
      <c r="AW62" s="17"/>
    </row>
    <row r="63" spans="1:49" ht="21.6" customHeight="1" outlineLevel="1">
      <c r="A63" s="28"/>
      <c r="B63" s="28"/>
      <c r="C63" s="29"/>
      <c r="D63" s="30"/>
      <c r="E63" s="31"/>
      <c r="F63" s="49"/>
      <c r="G63" s="4" t="str">
        <v/>
      </c>
      <c r="H63" s="49"/>
      <c r="I63" s="36">
        <v>0</v>
      </c>
      <c r="J63" s="37">
        <f>ROUNDDOWN(I63*1.1,0)</f>
        <v>0</v>
      </c>
      <c r="K63" s="36">
        <f>IFERROR((I63*H63),"")</f>
        <v>0</v>
      </c>
      <c r="L63" s="37">
        <f>IFERROR((J63*H63),"")</f>
        <v>0</v>
      </c>
      <c r="M63" s="18"/>
      <c r="N63" s="19"/>
      <c r="O63" s="104"/>
      <c r="P63" s="19"/>
      <c r="Q63" s="110"/>
      <c r="R63" s="111"/>
      <c r="S63" s="19"/>
      <c r="T63" s="110"/>
      <c r="U63" s="149"/>
      <c r="V63" s="19"/>
      <c r="W63" s="18"/>
      <c r="X63" s="42"/>
      <c r="Y63" s="116"/>
      <c r="Z63" s="115"/>
      <c r="AA63" s="33"/>
      <c r="AB63" s="7"/>
      <c r="AC63" s="7"/>
      <c r="AD63" s="7"/>
      <c r="AE63" s="7"/>
      <c r="AF63" s="156"/>
      <c r="AG63" s="167"/>
      <c r="AH63" s="168"/>
      <c r="AI63" s="167"/>
      <c r="AJ63" s="168"/>
      <c r="AK63" s="168"/>
      <c r="AL63" s="168"/>
      <c r="AM63" s="117"/>
      <c r="AN63" s="173"/>
      <c r="AO63" s="168"/>
      <c r="AP63" s="168"/>
      <c r="AQ63" s="168"/>
      <c r="AR63" s="168"/>
      <c r="AS63" s="117"/>
      <c r="AT63" s="156"/>
      <c r="AU63" s="111"/>
      <c r="AV63" s="111"/>
      <c r="AW63" s="19"/>
    </row>
    <row r="64" spans="1:49" ht="29.65" customHeight="1">
      <c r="A64" s="8">
        <f>LENB(D64)</f>
        <v>0</v>
      </c>
      <c r="B64" s="8">
        <f>LENB(E64)</f>
        <v>0</v>
      </c>
      <c r="C64" s="46"/>
      <c r="D64" s="47"/>
      <c r="E64" s="206"/>
      <c r="F64" s="15"/>
      <c r="G64" s="14"/>
      <c r="H64" s="15"/>
      <c r="I64" s="20"/>
      <c r="J64" s="21"/>
      <c r="K64" s="44">
        <f>SUM(K65:K72)</f>
        <v>0</v>
      </c>
      <c r="L64" s="45">
        <f>SUM(L65:L72)</f>
        <v>0</v>
      </c>
      <c r="M64" s="119">
        <f>ROUNDUP(N64/1.1,0)</f>
        <v>0</v>
      </c>
      <c r="N64" s="74"/>
      <c r="O64" s="119">
        <f>ROUNDUP(P64/1.1,0)</f>
        <v>0</v>
      </c>
      <c r="P64" s="74"/>
      <c r="Q64" s="200" t="e">
        <f>1-(N64/L64)</f>
        <v>#DIV/0!</v>
      </c>
      <c r="R64" s="122">
        <f>K64-M64</f>
        <v>0</v>
      </c>
      <c r="S64" s="123">
        <f>L64-N64</f>
        <v>0</v>
      </c>
      <c r="T64" s="200" t="e">
        <f>1-(P64/N64)</f>
        <v>#DIV/0!</v>
      </c>
      <c r="U64" s="122">
        <f>M64-O64</f>
        <v>0</v>
      </c>
      <c r="V64" s="123">
        <f>N64-P64</f>
        <v>0</v>
      </c>
      <c r="W64" s="119">
        <f>ROUNDUP(X64/1.1,0)</f>
        <v>0</v>
      </c>
      <c r="X64" s="74"/>
      <c r="Y64" s="145"/>
      <c r="Z64" s="74"/>
      <c r="AA64" s="146"/>
      <c r="AB64" s="118"/>
      <c r="AC64" s="93"/>
      <c r="AD64" s="93"/>
      <c r="AE64" s="93"/>
      <c r="AF64" s="154"/>
      <c r="AG64" s="159"/>
      <c r="AH64" s="159"/>
      <c r="AI64" s="159"/>
      <c r="AJ64" s="160"/>
      <c r="AK64" s="159"/>
      <c r="AL64" s="159"/>
      <c r="AM64" s="161"/>
      <c r="AN64" s="154"/>
      <c r="AO64" s="159"/>
      <c r="AP64" s="159"/>
      <c r="AQ64" s="160"/>
      <c r="AR64" s="159"/>
      <c r="AS64" s="170"/>
      <c r="AT64" s="154"/>
      <c r="AU64" s="153"/>
      <c r="AV64" s="153"/>
      <c r="AW64" s="74"/>
    </row>
    <row r="65" spans="1:49" ht="21.6" customHeight="1" outlineLevel="1">
      <c r="A65" s="24"/>
      <c r="B65" s="24"/>
      <c r="C65" s="25"/>
      <c r="D65" s="26"/>
      <c r="E65" s="27"/>
      <c r="F65" s="48"/>
      <c r="G65" s="4" t="str">
        <v/>
      </c>
      <c r="H65" s="50"/>
      <c r="I65" s="36">
        <v>0</v>
      </c>
      <c r="J65" s="37">
        <f>ROUNDDOWN(I65*1.1,0)</f>
        <v>0</v>
      </c>
      <c r="K65" s="36">
        <f>IFERROR((I65*H65),"")</f>
        <v>0</v>
      </c>
      <c r="L65" s="37">
        <f>IFERROR((J65*H65),"")</f>
        <v>0</v>
      </c>
      <c r="M65" s="22"/>
      <c r="N65" s="23"/>
      <c r="O65" s="102"/>
      <c r="P65" s="23"/>
      <c r="Q65" s="106"/>
      <c r="R65" s="107"/>
      <c r="S65" s="23"/>
      <c r="T65" s="106"/>
      <c r="U65" s="107"/>
      <c r="V65" s="23"/>
      <c r="W65" s="22"/>
      <c r="X65" s="43"/>
      <c r="Y65" s="112"/>
      <c r="Z65" s="113"/>
      <c r="AA65" s="34"/>
      <c r="AB65" s="9"/>
      <c r="AC65" s="9"/>
      <c r="AD65" s="9"/>
      <c r="AE65" s="9"/>
      <c r="AF65" s="162"/>
      <c r="AG65" s="164"/>
      <c r="AH65" s="164"/>
      <c r="AI65" s="164"/>
      <c r="AJ65" s="164"/>
      <c r="AK65" s="164"/>
      <c r="AL65" s="164"/>
      <c r="AM65" s="113"/>
      <c r="AN65" s="162"/>
      <c r="AO65" s="164"/>
      <c r="AP65" s="164"/>
      <c r="AQ65" s="164"/>
      <c r="AR65" s="164"/>
      <c r="AS65" s="113"/>
      <c r="AT65" s="155"/>
      <c r="AU65" s="109"/>
      <c r="AV65" s="109"/>
      <c r="AW65" s="17"/>
    </row>
    <row r="66" spans="1:49" ht="21.6" customHeight="1" outlineLevel="1">
      <c r="A66" s="24"/>
      <c r="B66" s="24"/>
      <c r="C66" s="25"/>
      <c r="D66" s="26"/>
      <c r="E66" s="27"/>
      <c r="F66" s="48"/>
      <c r="G66" s="4" t="str">
        <v/>
      </c>
      <c r="H66" s="48"/>
      <c r="I66" s="36">
        <v>0</v>
      </c>
      <c r="J66" s="37">
        <f>ROUNDDOWN(I66*1.1,0)</f>
        <v>0</v>
      </c>
      <c r="K66" s="36">
        <f>IFERROR((I66*H66),"")</f>
        <v>0</v>
      </c>
      <c r="L66" s="37">
        <f>IFERROR((J66*H66),"")</f>
        <v>0</v>
      </c>
      <c r="M66" s="16"/>
      <c r="N66" s="17"/>
      <c r="O66" s="103"/>
      <c r="P66" s="17"/>
      <c r="Q66" s="108"/>
      <c r="R66" s="109"/>
      <c r="S66" s="17"/>
      <c r="T66" s="108"/>
      <c r="U66" s="109"/>
      <c r="V66" s="17"/>
      <c r="W66" s="16"/>
      <c r="X66" s="41"/>
      <c r="Y66" s="114"/>
      <c r="Z66" s="115"/>
      <c r="AA66" s="32"/>
      <c r="AB66" s="5"/>
      <c r="AC66" s="5"/>
      <c r="AD66" s="5"/>
      <c r="AE66" s="5"/>
      <c r="AF66" s="155"/>
      <c r="AG66" s="165"/>
      <c r="AH66" s="165"/>
      <c r="AI66" s="165"/>
      <c r="AJ66" s="165"/>
      <c r="AK66" s="165"/>
      <c r="AL66" s="165"/>
      <c r="AM66" s="115"/>
      <c r="AN66" s="155"/>
      <c r="AO66" s="165"/>
      <c r="AP66" s="165"/>
      <c r="AQ66" s="165"/>
      <c r="AR66" s="165"/>
      <c r="AS66" s="115"/>
      <c r="AT66" s="155"/>
      <c r="AU66" s="109"/>
      <c r="AV66" s="109"/>
      <c r="AW66" s="17"/>
    </row>
    <row r="67" spans="1:49" ht="21.6" customHeight="1" outlineLevel="1">
      <c r="A67" s="24"/>
      <c r="B67" s="24"/>
      <c r="C67" s="25"/>
      <c r="D67" s="26"/>
      <c r="E67" s="27"/>
      <c r="F67" s="48"/>
      <c r="G67" s="4" t="str">
        <v/>
      </c>
      <c r="H67" s="48"/>
      <c r="I67" s="36">
        <v>0</v>
      </c>
      <c r="J67" s="37">
        <f>ROUNDDOWN(I67*1.1,0)</f>
        <v>0</v>
      </c>
      <c r="K67" s="36">
        <f>IFERROR((I67*H67),"")</f>
        <v>0</v>
      </c>
      <c r="L67" s="37">
        <f>IFERROR((J67*H67),"")</f>
        <v>0</v>
      </c>
      <c r="M67" s="16"/>
      <c r="N67" s="17"/>
      <c r="O67" s="103"/>
      <c r="P67" s="17"/>
      <c r="Q67" s="108"/>
      <c r="R67" s="109"/>
      <c r="S67" s="17"/>
      <c r="T67" s="108"/>
      <c r="U67" s="109"/>
      <c r="V67" s="17"/>
      <c r="W67" s="16"/>
      <c r="X67" s="41"/>
      <c r="Y67" s="114"/>
      <c r="Z67" s="115"/>
      <c r="AA67" s="32"/>
      <c r="AB67" s="5"/>
      <c r="AC67" s="5"/>
      <c r="AD67" s="5"/>
      <c r="AE67" s="5"/>
      <c r="AF67" s="155"/>
      <c r="AG67" s="165"/>
      <c r="AH67" s="165"/>
      <c r="AI67" s="165"/>
      <c r="AJ67" s="165"/>
      <c r="AK67" s="165"/>
      <c r="AL67" s="165"/>
      <c r="AM67" s="115"/>
      <c r="AN67" s="155"/>
      <c r="AO67" s="165"/>
      <c r="AP67" s="165"/>
      <c r="AQ67" s="165"/>
      <c r="AR67" s="165"/>
      <c r="AS67" s="115"/>
      <c r="AT67" s="155"/>
      <c r="AU67" s="109"/>
      <c r="AV67" s="109"/>
      <c r="AW67" s="17"/>
    </row>
    <row r="68" spans="1:49" ht="21.6" customHeight="1" outlineLevel="1">
      <c r="A68" s="24"/>
      <c r="B68" s="24"/>
      <c r="C68" s="25"/>
      <c r="D68" s="26"/>
      <c r="E68" s="27"/>
      <c r="F68" s="48"/>
      <c r="G68" s="4" t="str">
        <v/>
      </c>
      <c r="H68" s="48"/>
      <c r="I68" s="36">
        <v>0</v>
      </c>
      <c r="J68" s="37">
        <f>ROUNDDOWN(I68*1.1,0)</f>
        <v>0</v>
      </c>
      <c r="K68" s="36">
        <f>IFERROR((I68*H68),"")</f>
        <v>0</v>
      </c>
      <c r="L68" s="37">
        <f>IFERROR((J68*H68),"")</f>
        <v>0</v>
      </c>
      <c r="M68" s="16"/>
      <c r="N68" s="17"/>
      <c r="O68" s="103"/>
      <c r="P68" s="17"/>
      <c r="Q68" s="108"/>
      <c r="R68" s="109"/>
      <c r="S68" s="17"/>
      <c r="T68" s="108"/>
      <c r="U68" s="109"/>
      <c r="V68" s="17"/>
      <c r="W68" s="16"/>
      <c r="X68" s="41"/>
      <c r="Y68" s="114"/>
      <c r="Z68" s="115"/>
      <c r="AA68" s="32"/>
      <c r="AB68" s="5"/>
      <c r="AC68" s="5"/>
      <c r="AD68" s="5"/>
      <c r="AE68" s="5"/>
      <c r="AF68" s="155"/>
      <c r="AG68" s="165"/>
      <c r="AH68" s="165"/>
      <c r="AI68" s="165"/>
      <c r="AJ68" s="165"/>
      <c r="AK68" s="165"/>
      <c r="AL68" s="165"/>
      <c r="AM68" s="115"/>
      <c r="AN68" s="155"/>
      <c r="AO68" s="165"/>
      <c r="AP68" s="165"/>
      <c r="AQ68" s="165"/>
      <c r="AR68" s="165"/>
      <c r="AS68" s="115"/>
      <c r="AT68" s="155"/>
      <c r="AU68" s="109"/>
      <c r="AV68" s="109"/>
      <c r="AW68" s="17"/>
    </row>
    <row r="69" spans="1:49" ht="21.6" customHeight="1" outlineLevel="1">
      <c r="A69" s="24"/>
      <c r="B69" s="24"/>
      <c r="C69" s="25"/>
      <c r="D69" s="26"/>
      <c r="E69" s="27"/>
      <c r="F69" s="48"/>
      <c r="G69" s="4" t="str">
        <v/>
      </c>
      <c r="H69" s="48"/>
      <c r="I69" s="36">
        <v>0</v>
      </c>
      <c r="J69" s="37">
        <f>ROUNDDOWN(I69*1.1,0)</f>
        <v>0</v>
      </c>
      <c r="K69" s="36">
        <f>IFERROR((I69*H69),"")</f>
        <v>0</v>
      </c>
      <c r="L69" s="37">
        <f>IFERROR((J69*H69),"")</f>
        <v>0</v>
      </c>
      <c r="M69" s="16"/>
      <c r="N69" s="17"/>
      <c r="O69" s="103"/>
      <c r="P69" s="17"/>
      <c r="Q69" s="108"/>
      <c r="R69" s="109"/>
      <c r="S69" s="17"/>
      <c r="T69" s="108"/>
      <c r="U69" s="109"/>
      <c r="V69" s="17"/>
      <c r="W69" s="16"/>
      <c r="X69" s="41"/>
      <c r="Y69" s="114"/>
      <c r="Z69" s="115"/>
      <c r="AA69" s="32"/>
      <c r="AB69" s="5"/>
      <c r="AC69" s="5"/>
      <c r="AD69" s="5"/>
      <c r="AE69" s="5"/>
      <c r="AF69" s="155"/>
      <c r="AG69" s="165"/>
      <c r="AH69" s="165"/>
      <c r="AI69" s="165"/>
      <c r="AJ69" s="165"/>
      <c r="AK69" s="165"/>
      <c r="AL69" s="165"/>
      <c r="AM69" s="115"/>
      <c r="AN69" s="155"/>
      <c r="AO69" s="165"/>
      <c r="AP69" s="165"/>
      <c r="AQ69" s="165"/>
      <c r="AR69" s="165"/>
      <c r="AS69" s="115"/>
      <c r="AT69" s="155"/>
      <c r="AU69" s="109"/>
      <c r="AV69" s="109"/>
      <c r="AW69" s="17"/>
    </row>
    <row r="70" spans="1:49" ht="21.6" customHeight="1" outlineLevel="1">
      <c r="A70" s="24"/>
      <c r="B70" s="24"/>
      <c r="C70" s="25"/>
      <c r="D70" s="26"/>
      <c r="E70" s="27"/>
      <c r="F70" s="48"/>
      <c r="G70" s="4" t="str">
        <v/>
      </c>
      <c r="H70" s="48"/>
      <c r="I70" s="36">
        <v>0</v>
      </c>
      <c r="J70" s="37">
        <f>ROUNDDOWN(I70*1.1,0)</f>
        <v>0</v>
      </c>
      <c r="K70" s="36">
        <f>IFERROR((I70*H70),"")</f>
        <v>0</v>
      </c>
      <c r="L70" s="37">
        <f>IFERROR((J70*H70),"")</f>
        <v>0</v>
      </c>
      <c r="M70" s="16"/>
      <c r="N70" s="17"/>
      <c r="O70" s="103"/>
      <c r="P70" s="17"/>
      <c r="Q70" s="108"/>
      <c r="R70" s="109"/>
      <c r="S70" s="17"/>
      <c r="T70" s="108"/>
      <c r="U70" s="109"/>
      <c r="V70" s="17"/>
      <c r="W70" s="16"/>
      <c r="X70" s="41"/>
      <c r="Y70" s="114"/>
      <c r="Z70" s="115"/>
      <c r="AA70" s="32"/>
      <c r="AB70" s="5"/>
      <c r="AC70" s="5"/>
      <c r="AD70" s="5"/>
      <c r="AE70" s="5"/>
      <c r="AF70" s="155"/>
      <c r="AG70" s="165"/>
      <c r="AH70" s="165"/>
      <c r="AI70" s="165"/>
      <c r="AJ70" s="165"/>
      <c r="AK70" s="165"/>
      <c r="AL70" s="165"/>
      <c r="AM70" s="115"/>
      <c r="AN70" s="155"/>
      <c r="AO70" s="165"/>
      <c r="AP70" s="165"/>
      <c r="AQ70" s="165"/>
      <c r="AR70" s="165"/>
      <c r="AS70" s="115"/>
      <c r="AT70" s="155"/>
      <c r="AU70" s="109"/>
      <c r="AV70" s="109"/>
      <c r="AW70" s="17"/>
    </row>
    <row r="71" spans="1:49" ht="21.6" customHeight="1" outlineLevel="1">
      <c r="A71" s="24"/>
      <c r="B71" s="24"/>
      <c r="C71" s="25"/>
      <c r="D71" s="26"/>
      <c r="E71" s="27"/>
      <c r="F71" s="48"/>
      <c r="G71" s="4" t="str">
        <v/>
      </c>
      <c r="H71" s="48"/>
      <c r="I71" s="36">
        <v>0</v>
      </c>
      <c r="J71" s="37">
        <f>ROUNDDOWN(I71*1.1,0)</f>
        <v>0</v>
      </c>
      <c r="K71" s="36">
        <f>IFERROR((I71*H71),"")</f>
        <v>0</v>
      </c>
      <c r="L71" s="37">
        <f>IFERROR((J71*H71),"")</f>
        <v>0</v>
      </c>
      <c r="M71" s="16"/>
      <c r="N71" s="17"/>
      <c r="O71" s="103"/>
      <c r="P71" s="17"/>
      <c r="Q71" s="108"/>
      <c r="R71" s="109"/>
      <c r="S71" s="17"/>
      <c r="T71" s="108"/>
      <c r="U71" s="109"/>
      <c r="V71" s="17"/>
      <c r="W71" s="16"/>
      <c r="X71" s="41"/>
      <c r="Y71" s="114"/>
      <c r="Z71" s="115"/>
      <c r="AA71" s="32"/>
      <c r="AB71" s="5"/>
      <c r="AC71" s="5"/>
      <c r="AD71" s="5"/>
      <c r="AE71" s="5"/>
      <c r="AF71" s="155"/>
      <c r="AG71" s="165"/>
      <c r="AH71" s="165"/>
      <c r="AI71" s="165"/>
      <c r="AJ71" s="165"/>
      <c r="AK71" s="165"/>
      <c r="AL71" s="165"/>
      <c r="AM71" s="115"/>
      <c r="AN71" s="155"/>
      <c r="AO71" s="165"/>
      <c r="AP71" s="165"/>
      <c r="AQ71" s="165"/>
      <c r="AR71" s="165"/>
      <c r="AS71" s="115"/>
      <c r="AT71" s="155"/>
      <c r="AU71" s="109"/>
      <c r="AV71" s="109"/>
      <c r="AW71" s="17"/>
    </row>
    <row r="72" spans="1:49" ht="21.6" customHeight="1" outlineLevel="1">
      <c r="A72" s="28"/>
      <c r="B72" s="28"/>
      <c r="C72" s="29"/>
      <c r="D72" s="30"/>
      <c r="E72" s="31"/>
      <c r="F72" s="49"/>
      <c r="G72" s="6" t="str">
        <v/>
      </c>
      <c r="H72" s="49"/>
      <c r="I72" s="38">
        <v>0</v>
      </c>
      <c r="J72" s="39">
        <f>ROUNDDOWN(I72*1.1,0)</f>
        <v>0</v>
      </c>
      <c r="K72" s="38">
        <f>IFERROR((I72*H72),"")</f>
        <v>0</v>
      </c>
      <c r="L72" s="39">
        <f>IFERROR((J72*H72),"")</f>
        <v>0</v>
      </c>
      <c r="M72" s="18"/>
      <c r="N72" s="19"/>
      <c r="O72" s="104"/>
      <c r="P72" s="19"/>
      <c r="Q72" s="110"/>
      <c r="R72" s="111"/>
      <c r="S72" s="19"/>
      <c r="T72" s="110"/>
      <c r="U72" s="111"/>
      <c r="V72" s="19"/>
      <c r="W72" s="18"/>
      <c r="X72" s="42"/>
      <c r="Y72" s="116"/>
      <c r="Z72" s="117"/>
      <c r="AA72" s="33"/>
      <c r="AB72" s="7"/>
      <c r="AC72" s="7"/>
      <c r="AD72" s="7"/>
      <c r="AE72" s="7"/>
      <c r="AF72" s="156"/>
      <c r="AG72" s="168"/>
      <c r="AH72" s="168"/>
      <c r="AI72" s="168"/>
      <c r="AJ72" s="168"/>
      <c r="AK72" s="168"/>
      <c r="AL72" s="168"/>
      <c r="AM72" s="117"/>
      <c r="AN72" s="156"/>
      <c r="AO72" s="168"/>
      <c r="AP72" s="168"/>
      <c r="AQ72" s="168"/>
      <c r="AR72" s="168"/>
      <c r="AS72" s="117"/>
      <c r="AT72" s="156"/>
      <c r="AU72" s="111"/>
      <c r="AV72" s="111"/>
      <c r="AW72" s="19"/>
    </row>
    <row r="74" spans="1:49" s="11" customFormat="1" ht="55.15" customHeight="1">
      <c r="B74" s="71" t="s">
        <v>75</v>
      </c>
      <c r="K74" s="57"/>
      <c r="O74" s="216"/>
      <c r="P74" s="216"/>
      <c r="Q74" s="196"/>
      <c r="T74" s="196"/>
      <c r="V74" s="57"/>
    </row>
  </sheetData>
  <dataConsolidate/>
  <mergeCells count="26">
    <mergeCell ref="C2:D2"/>
    <mergeCell ref="F2:G2"/>
    <mergeCell ref="C3:D3"/>
    <mergeCell ref="F7:G7"/>
    <mergeCell ref="D12:F12"/>
    <mergeCell ref="K12:M12"/>
    <mergeCell ref="N12:O12"/>
    <mergeCell ref="D13:F13"/>
    <mergeCell ref="H13:J13"/>
    <mergeCell ref="K13:M13"/>
    <mergeCell ref="N13:O13"/>
    <mergeCell ref="H12:J12"/>
    <mergeCell ref="AN17:AS17"/>
    <mergeCell ref="O15:P15"/>
    <mergeCell ref="I17:J17"/>
    <mergeCell ref="K17:L17"/>
    <mergeCell ref="M17:N17"/>
    <mergeCell ref="O17:P17"/>
    <mergeCell ref="Q17:S17"/>
    <mergeCell ref="AT17:AW17"/>
    <mergeCell ref="O74:P74"/>
    <mergeCell ref="T17:V17"/>
    <mergeCell ref="W17:X17"/>
    <mergeCell ref="Y17:Z17"/>
    <mergeCell ref="AA17:AE17"/>
    <mergeCell ref="AF17:AM17"/>
  </mergeCells>
  <phoneticPr fontId="3"/>
  <conditionalFormatting sqref="B19 B28 B55 B64 B78 B87 B96 B105 B114 B123 B132 B141 B150 B159 B173 B182 B191 B200 B209 B218 B227 B236 B245 B254">
    <cfRule type="cellIs" dxfId="17" priority="6" operator="greaterThan">
      <formula>40</formula>
    </cfRule>
  </conditionalFormatting>
  <conditionalFormatting sqref="B37">
    <cfRule type="cellIs" dxfId="16" priority="4" operator="greaterThan">
      <formula>40</formula>
    </cfRule>
  </conditionalFormatting>
  <conditionalFormatting sqref="B46">
    <cfRule type="cellIs" dxfId="15" priority="5" operator="greaterThan">
      <formula>40</formula>
    </cfRule>
  </conditionalFormatting>
  <conditionalFormatting sqref="E64">
    <cfRule type="expression" dxfId="14" priority="12">
      <formula>E64&lt;&gt;""</formula>
    </cfRule>
  </conditionalFormatting>
  <conditionalFormatting sqref="E105">
    <cfRule type="expression" dxfId="13" priority="9">
      <formula>E105&lt;&gt;""</formula>
    </cfRule>
  </conditionalFormatting>
  <conditionalFormatting sqref="E141">
    <cfRule type="expression" dxfId="12" priority="8">
      <formula>E141&lt;&gt;""</formula>
    </cfRule>
  </conditionalFormatting>
  <conditionalFormatting sqref="E159">
    <cfRule type="expression" dxfId="11" priority="7">
      <formula>E159&lt;&gt;""</formula>
    </cfRule>
  </conditionalFormatting>
  <conditionalFormatting sqref="E173">
    <cfRule type="expression" dxfId="10" priority="1">
      <formula>E173&lt;&gt;""</formula>
    </cfRule>
  </conditionalFormatting>
  <conditionalFormatting sqref="E182">
    <cfRule type="expression" dxfId="9" priority="2">
      <formula>E182&lt;&gt;""</formula>
    </cfRule>
  </conditionalFormatting>
  <conditionalFormatting sqref="E191">
    <cfRule type="expression" dxfId="8" priority="3">
      <formula>E191&lt;&gt;""</formula>
    </cfRule>
  </conditionalFormatting>
  <conditionalFormatting sqref="E200">
    <cfRule type="expression" dxfId="7" priority="11">
      <formula>E200&lt;&gt;""</formula>
    </cfRule>
  </conditionalFormatting>
  <conditionalFormatting sqref="E236">
    <cfRule type="expression" dxfId="6" priority="10">
      <formula>E236&lt;&gt;""</formula>
    </cfRule>
  </conditionalFormatting>
  <dataValidations count="15">
    <dataValidation type="list" allowBlank="1" showInputMessage="1" showErrorMessage="1" sqref="Z28 Z254 Z55 Z64 Z78 Z87 Z96 Z105 Z114 Z123 Z132 Z141 Z150 Z159 Z191 Z19 Z182 Z200 Z209 Z218 Z227 Z236 Z245 Z37 Z46 Z173" ns2:uid="{7408FBBE-C2F5-4C5C-BA39-16283622F131}">
      <formula1>"0,8,39,60"</formula1>
    </dataValidation>
    <dataValidation type="list" allowBlank="1" showInputMessage="1" showErrorMessage="1" sqref="AI28 AI254 AI55 AI64 AI78 AI87 AI96 AI105 AI114 AI123 AI132 AI141 AI150 AI159 AI191 AI19 AI182 AI200 AI209 AI218 AI227 AI236 AI245 AI37 AI46 AI173" ns2:uid="{7738DA41-1157-40C9-BDED-596BD1945E2A}">
      <formula1>"月,日"</formula1>
    </dataValidation>
    <dataValidation type="list" allowBlank="1" showInputMessage="1" showErrorMessage="1" sqref="AG28 AG254 AG55 AG64 AG78 AG87 AG96 AG105 AG114 AG123 AG132 AG141 AG150 AG159 AG191 AG19 AG182 AG200 AG209 AG218 AG227 AG236 AG245 AG37 AG46 AG173" ns2:uid="{77E1E408-E316-49E4-92DB-361D0D32D61D}">
      <formula1>"初回(配送あり),継続,復活"</formula1>
    </dataValidation>
    <dataValidation type="list" allowBlank="1" showInputMessage="1" showErrorMessage="1" sqref="AN56:AN63 AN38:AN45 AN47:AN54 AN29:AN36 AN20:AN27" ns2:uid="{2DC8B3D9-4343-485B-AF13-16A312401AA0}">
      <formula1>"0：対象でない,１：CB対象"</formula1>
    </dataValidation>
    <dataValidation type="list" allowBlank="1" showInputMessage="1" showErrorMessage="1" sqref="N13:O13" ns2:uid="{BB29F7C7-2CBC-4E70-8898-2E56717F4A0A}">
      <formula1>"あり,なし"</formula1>
    </dataValidation>
    <dataValidation type="list" allowBlank="1" showInputMessage="1" showErrorMessage="1" sqref="C13" ns2:uid="{64FE5C6C-BF71-4EAC-8F01-A9710C9E5A56}">
      <formula1>" DRStore・DigitalStore・MP,DR Print Media,TV Call"</formula1>
    </dataValidation>
    <dataValidation type="list" allowBlank="1" showInputMessage="1" showErrorMessage="1" sqref="AI56:AI63 AI29:AI36 AI38:AI45 AI47:AI54 AI20:AI27" ns2:uid="{50FB06AD-B299-4EBF-A1ED-9927631F7B17}">
      <formula1>"1：月.2：日"</formula1>
    </dataValidation>
    <dataValidation type="list" allowBlank="1" showInputMessage="1" showErrorMessage="1" sqref="AG56:AG63 AG29:AG36 AG38:AG45 AG47:AG54 AG20:AG27" ns2:uid="{C573C443-18A2-49BD-832C-D6851EEC7BBE}">
      <formula1>"非定期,1：初回（配送あり）,3：継続,4：復活"</formula1>
    </dataValidation>
    <dataValidation type="list" allowBlank="1" showInputMessage="1" showErrorMessage="1" sqref="AE28 AE245 AE96 AE55 AE159 AE191 AE19 AE182 AE200 AE209 AE218 AE227 AE236 AE64 AE78 AE254 AE87 AE105 AE114 AE123 AE132 AE141 AE150 AE37 AE46 AE173" ns2:uid="{F1A2F7E3-6CF0-433B-9E18-46C85D750879}">
      <formula1>"対象外,対象"</formula1>
    </dataValidation>
    <dataValidation type="list" allowBlank="1" showInputMessage="1" showErrorMessage="1" sqref="AD28 AD245 AD96 AD55 AD159 AD191 AD19 AD182 AD200 AD209 AD218 AD227 AD236 AD64 AD78 AD254 AD87 AD105 AD114 AD123 AD132 AD141 AD150 AD37 AD46 AD173" ns2:uid="{107F792A-BA74-4185-A4A2-5BE5A3DCEEF5}">
      <formula1>"可,不可"</formula1>
    </dataValidation>
    <dataValidation type="list" allowBlank="1" showInputMessage="1" showErrorMessage="1" sqref="AT28 AT245 AT55 AT37 AT159 AT182 AT19 AT191 AT200 AT209 AT227 AT218 AT236 AT64 AT78 AT87 AT254 AT105 AT114 AT132 AT123 AT150 AT141 AT96 AT46 AT173" ns2:uid="{3E3C7599-4B88-4175-9A75-0608F0B4239F}">
      <formula1>"空白,不可,超分割のみ可"</formula1>
    </dataValidation>
    <dataValidation type="list" allowBlank="1" showInputMessage="1" showErrorMessage="1" sqref="Y96 Y55 Y245 Y28 Y19 Y182 Y191 Y159 Y209 Y200 Y218 Y227 Y236 Y87 Y78 Y254 Y64 Y114 Y105 Y123 Y132 Y141 Y150 Y37 Y46 Y173" ns2:uid="{73D38CB1-1D00-4FEA-8F33-5EF31CEDEBCE}">
      <formula1>"可,不可,開封後不可"</formula1>
    </dataValidation>
    <dataValidation type="list" allowBlank="1" showInputMessage="1" showErrorMessage="1" sqref="AR55 AR37 AR245 AR28 AR46 AR191 AR182 AR159 AR209 AR200 AR227 AR218 AR236 AR87 AR254 AR78 AR64 AR114 AR105 AR132 AR123 AR150 AR141 AR96 AR19 AR173" ns2:uid="{849A1388-AE5B-4E70-B218-D4131263C618}">
      <formula1>"商品,受注"</formula1>
    </dataValidation>
    <dataValidation type="list" allowBlank="1" showInputMessage="1" showErrorMessage="1" sqref="AT38:AT45 AT29:AT36 AT246:AT253 AB37:AC37 AT65:AT72 AT56:AT63 AB191:AC191 AT47:AT54 AB159:AC159 AU192:AU199 AB55:AC55 AB200:AC200 AT20:AT27 AU210:AU217 AU201:AU208 AB209:AC209 AB218:AC218 AB227:AC227 AT219:AT226 AB182:AC182 AT237:AT244 AT228:AT235 AB236:AC236 AT160:AT167 AB46:AC46 AT151:AT158 AB78:AC78 AN254:AO254 AB64:AC64 AU88:AU95 AB105:AC105 AU97:AU104 AU115:AU122 AU106:AU113 AB114:AC114 AB123:AC123 AB132:AC132 AT124:AT131 AB150:AC150 AU79:AU86 AT142:AT149 AT133:AT140 AB141:AC141 AF254 AT255:AT262 AB245:AC245 AB28:AC28 AF28 AN28:AO28 AB96:AC96 AN96:AO96 AF55 AN55:AO55 AF64 AN64:AO64 AF78 AN78:AO78 AB254:AC254 AF87 AB87:AC87 AN87:AO87 AF105 AN105:AO105 AF114 AN114:AO114 AF123 AN123:AO123 AF132 AN132:AO132 AF141 AN141:AO141 AF150 AN150:AO150 AF159 AN159:AO159 AU183:AU190 AF191 AN191:AO191 AB19:AC19 AF182 AN182:AO182 AF200 AN200:AO200 AF209 AN209:AO209 AF218 AN218:AO218 AF227 AN227:AO227 AF236 AN236:AO236 AF245 AN245:AO245 AF96 AF37 AN37:AO37 AF19 AF46 AN19:AO19 AN46:AO46 AB173:AC173 AU174:AU181 AF173 AN173:AO173" ns2:uid="{753B41CC-A080-4453-B5AE-3E45C122854E}">
      <formula1>"有,無"</formula1>
    </dataValidation>
    <dataValidation type="list" allowBlank="1" showInputMessage="1" showErrorMessage="1" sqref="AA55 AA245 AA96 AA28 AA182 AA191 AA19 AA159 AA200 AA209 AA227 AA218 AA236 AA254 AA78 AA87 AA64 AA105 AA114 AA132 AA123 AA150 AA141 AA37 AA46 AA173" ns2:uid="{633912C3-AB0E-4381-BC60-79D5202914A9}">
      <formula1>"標準税,軽減税,非課税,不課税"</formula1>
    </dataValidation>
  </dataValidations>
  <pageMargins left="0.7" right="0.7" top="0.75" bottom="0.75" header="0.3" footer="0.3"/>
  <pageSetup paperSize="9" orientation="portrait" ns3:id="rId1"/>
  <drawing ns3:id="rId2"/>
  <legacyDrawing ns3: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4282-8ABB-4EA2-A9DB-54A787BCAAD3}">
  <sheetPr>
    <tabColor rgb="FFFFC000"/>
  </sheetPr>
  <dimension ref="A1:M19"/>
  <sheetViews>
    <sheetView topLeftCell="C13" zoomScale="85" zoomScaleNormal="85" workbookViewId="0">
      <selection activeCell="C15" sqref="C15:L15"/>
    </sheetView>
  </sheetViews>
  <sheetFormatPr defaultColWidth="9.875" defaultRowHeight="14.25"/>
  <cols>
    <col min="1" max="1" width="3.75" style="76" customWidth="1"/>
    <col min="2" max="2" width="23" style="76" customWidth="1"/>
    <col min="3" max="3" width="27.25" style="76" bestFit="1" customWidth="1"/>
    <col min="4" max="4" width="18.25" style="76" bestFit="1" customWidth="1"/>
    <col min="5" max="5" width="19.5" style="80" customWidth="1"/>
    <col min="6" max="6" width="25.125" style="76" bestFit="1" customWidth="1"/>
    <col min="7" max="8" width="6.875" style="76" bestFit="1" customWidth="1"/>
    <col min="9" max="11" width="10.625" style="76" customWidth="1"/>
    <col min="12" max="12" width="7.75" style="76" customWidth="1"/>
    <col min="13" max="13" width="103.25" style="76" bestFit="1" customWidth="1"/>
    <col min="14" max="16384" width="9.875" style="76"/>
  </cols>
  <sheetData>
    <row r="1" spans="1:13" ht="28.5">
      <c r="B1" s="225" t="s">
        <v>81</v>
      </c>
      <c r="C1" s="225"/>
      <c r="D1" s="225"/>
      <c r="E1" s="77"/>
      <c r="F1" s="90"/>
      <c r="G1" s="77"/>
    </row>
    <row r="2" spans="1:13" ht="16.149999999999999" customHeight="1">
      <c r="A2" s="78"/>
      <c r="B2" s="76" t="s">
        <v>123</v>
      </c>
      <c r="C2" s="79"/>
      <c r="D2" s="79"/>
      <c r="E2" s="76" t="s">
        <v>129</v>
      </c>
      <c r="F2" s="90"/>
      <c r="G2" s="77"/>
    </row>
    <row r="3" spans="1:13" ht="16.149999999999999" customHeight="1">
      <c r="A3" s="78"/>
      <c r="B3" s="76" t="s">
        <v>124</v>
      </c>
      <c r="D3" s="79"/>
      <c r="E3" s="76" t="s">
        <v>133</v>
      </c>
      <c r="F3" s="79"/>
      <c r="G3" s="77"/>
    </row>
    <row r="4" spans="1:13" ht="16.149999999999999" customHeight="1">
      <c r="A4" s="78"/>
      <c r="B4" s="76" t="s">
        <v>125</v>
      </c>
      <c r="D4" s="79"/>
      <c r="E4" s="128" t="s">
        <v>135</v>
      </c>
      <c r="F4" s="79"/>
      <c r="G4" s="77"/>
    </row>
    <row r="5" spans="1:13" ht="16.149999999999999" customHeight="1">
      <c r="A5" s="78"/>
      <c r="B5" s="76" t="s">
        <v>126</v>
      </c>
      <c r="D5" s="79"/>
      <c r="E5" s="76" t="s">
        <v>132</v>
      </c>
      <c r="F5" s="79"/>
      <c r="G5" s="77"/>
    </row>
    <row r="6" spans="1:13" ht="16.149999999999999" customHeight="1">
      <c r="A6" s="78"/>
      <c r="B6" s="76" t="s">
        <v>127</v>
      </c>
      <c r="D6" s="79"/>
      <c r="E6" s="76" t="s">
        <v>130</v>
      </c>
      <c r="F6" s="79"/>
      <c r="G6" s="77"/>
    </row>
    <row r="7" spans="1:13" ht="16.149999999999999" customHeight="1">
      <c r="A7" s="78"/>
      <c r="B7" s="76" t="s">
        <v>128</v>
      </c>
      <c r="E7" s="76" t="s">
        <v>131</v>
      </c>
    </row>
    <row r="8" spans="1:13" ht="16.149999999999999" customHeight="1">
      <c r="B8" s="127" t="s">
        <v>134</v>
      </c>
      <c r="E8" s="76"/>
    </row>
    <row r="9" spans="1:13">
      <c r="B9" s="81"/>
      <c r="E9" s="76"/>
    </row>
    <row r="10" spans="1:13">
      <c r="B10" s="81"/>
    </row>
    <row r="11" spans="1:13">
      <c r="B11" s="81"/>
      <c r="E11" s="76"/>
      <c r="G11" s="76" t="s">
        <v>121</v>
      </c>
      <c r="H11" s="76" t="s">
        <v>121</v>
      </c>
    </row>
    <row r="12" spans="1:13">
      <c r="B12" s="81"/>
      <c r="E12" s="76"/>
      <c r="G12" s="226" t="s">
        <v>97</v>
      </c>
      <c r="H12" s="226"/>
    </row>
    <row r="13" spans="1:13">
      <c r="B13" s="52" t="s">
        <v>1</v>
      </c>
      <c r="C13" s="52" t="s">
        <v>1</v>
      </c>
      <c r="D13" s="54" t="s">
        <v>2</v>
      </c>
      <c r="E13" s="52" t="s">
        <v>1</v>
      </c>
      <c r="F13" s="52" t="s">
        <v>1</v>
      </c>
      <c r="G13" s="52" t="s">
        <v>1</v>
      </c>
      <c r="H13" s="52" t="s">
        <v>1</v>
      </c>
      <c r="I13" s="52" t="s">
        <v>1</v>
      </c>
      <c r="J13" s="52" t="s">
        <v>1</v>
      </c>
      <c r="K13" s="52" t="s">
        <v>1</v>
      </c>
      <c r="L13" s="52" t="s">
        <v>1</v>
      </c>
      <c r="M13" s="82" t="s">
        <v>82</v>
      </c>
    </row>
    <row r="14" spans="1:13" ht="28.5">
      <c r="B14" s="83" t="s">
        <v>40</v>
      </c>
      <c r="C14" s="83" t="s">
        <v>41</v>
      </c>
      <c r="D14" s="195" t="s">
        <v>83</v>
      </c>
      <c r="E14" s="84" t="s">
        <v>85</v>
      </c>
      <c r="F14" s="84" t="s">
        <v>84</v>
      </c>
      <c r="G14" s="85" t="s">
        <v>42</v>
      </c>
      <c r="H14" s="85" t="s">
        <v>43</v>
      </c>
      <c r="I14" s="86" t="s">
        <v>44</v>
      </c>
      <c r="J14" s="86" t="s">
        <v>45</v>
      </c>
      <c r="K14" s="87" t="s">
        <v>46</v>
      </c>
      <c r="L14" s="85" t="s">
        <v>86</v>
      </c>
      <c r="M14" s="85" t="s">
        <v>87</v>
      </c>
    </row>
    <row r="15" spans="1:13" ht="16.5">
      <c r="B15" s="95"/>
      <c r="C15" s="95"/>
      <c r="D15" s="97"/>
      <c r="E15" s="97"/>
      <c r="F15" s="88"/>
      <c r="G15" s="96"/>
      <c r="H15" s="96"/>
      <c r="I15" s="124"/>
      <c r="J15" s="125"/>
      <c r="K15" s="126"/>
      <c r="L15" s="96"/>
      <c r="M15" s="89"/>
    </row>
    <row r="16" spans="1:13" ht="16.5">
      <c r="B16" s="95"/>
      <c r="C16" s="96"/>
      <c r="D16" s="97"/>
      <c r="E16" s="97"/>
      <c r="F16" s="88"/>
      <c r="G16" s="96"/>
      <c r="H16" s="96"/>
      <c r="I16" s="124"/>
      <c r="J16" s="125"/>
      <c r="K16" s="126"/>
      <c r="L16" s="96"/>
      <c r="M16" s="89"/>
    </row>
    <row r="17" spans="2:13" ht="16.5">
      <c r="B17" s="95"/>
      <c r="C17" s="96"/>
      <c r="D17" s="97"/>
      <c r="E17" s="97"/>
      <c r="F17" s="88"/>
      <c r="G17" s="96"/>
      <c r="H17" s="96"/>
      <c r="I17" s="124"/>
      <c r="J17" s="125"/>
      <c r="K17" s="126"/>
      <c r="L17" s="96"/>
      <c r="M17" s="89"/>
    </row>
    <row r="18" spans="2:13" ht="16.5">
      <c r="B18" s="95"/>
      <c r="C18" s="96"/>
      <c r="D18" s="97"/>
      <c r="E18" s="97"/>
      <c r="F18" s="88"/>
      <c r="G18" s="96"/>
      <c r="H18" s="96"/>
      <c r="I18" s="124"/>
      <c r="J18" s="125"/>
      <c r="K18" s="126"/>
      <c r="L18" s="96"/>
      <c r="M18" s="89"/>
    </row>
    <row r="19" spans="2:13" ht="16.5">
      <c r="B19" s="95"/>
      <c r="C19" s="96"/>
      <c r="D19" s="97"/>
      <c r="E19" s="97"/>
      <c r="F19" s="88"/>
      <c r="G19" s="96"/>
      <c r="H19" s="96"/>
      <c r="I19" s="124"/>
      <c r="J19" s="125"/>
      <c r="K19" s="126"/>
      <c r="L19" s="96"/>
      <c r="M19" s="89"/>
    </row>
  </sheetData>
  <mergeCells count="2">
    <mergeCell ref="B1:D1"/>
    <mergeCell ref="G12:H12"/>
  </mergeCells>
  <phoneticPr fontId="3"/>
  <conditionalFormatting sqref="B15:B19">
    <cfRule type="expression" dxfId="5" priority="45">
      <formula>B15&lt;&gt;""</formula>
    </cfRule>
    <cfRule type="duplicateValues" dxfId="4" priority="46"/>
  </conditionalFormatting>
  <conditionalFormatting sqref="C15">
    <cfRule type="expression" dxfId="3" priority="47">
      <formula>C15&lt;&gt;""</formula>
    </cfRule>
  </conditionalFormatting>
  <conditionalFormatting sqref="C17:C19">
    <cfRule type="expression" dxfId="2" priority="48">
      <formula>C17&lt;&gt;""</formula>
    </cfRule>
  </conditionalFormatting>
  <conditionalFormatting sqref="G15:H19">
    <cfRule type="expression" dxfId="1" priority="4">
      <formula>G15=99</formula>
    </cfRule>
  </conditionalFormatting>
  <conditionalFormatting sqref="K15:M19">
    <cfRule type="expression" dxfId="0" priority="2">
      <formula>K15=99</formula>
    </cfRule>
  </conditionalFormatting>
  <dataValidations count="1">
    <dataValidation type="list" allowBlank="1" showInputMessage="1" showErrorMessage="1" sqref="D15:D19" xr:uid="{54624449-F9B3-4B0E-816F-D28E3BCF6F82}">
      <formula1>"アップセル,ダウンセル"</formula1>
    </dataValidation>
  </dataValidation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EB03-84C7-43B7-8C08-262E66ECC90D}">
  <sheetPr>
    <tabColor rgb="FFFFC000"/>
  </sheetPr>
  <dimension ref="A1:D3"/>
  <sheetViews>
    <sheetView zoomScale="85" zoomScaleNormal="85" workbookViewId="0">
      <pane ySplit="3" topLeftCell="A4" activePane="bottomLeft" state="frozen"/>
      <selection pane="bottomLeft" activeCell="H11" sqref="H11"/>
    </sheetView>
  </sheetViews>
  <sheetFormatPr defaultRowHeight="18.75"/>
  <cols>
    <col min="1" max="1" width="13.75" style="100" bestFit="1" customWidth="1"/>
    <col min="2" max="2" width="39.125" style="100" bestFit="1" customWidth="1"/>
    <col min="3" max="3" width="12.875" style="100" bestFit="1" customWidth="1"/>
    <col min="4" max="4" width="39.5" style="100" bestFit="1" customWidth="1"/>
  </cols>
  <sheetData>
    <row r="1" spans="1:4" ht="19.5">
      <c r="A1" s="98" t="s">
        <v>105</v>
      </c>
      <c r="B1" s="99"/>
      <c r="C1" s="99"/>
      <c r="D1" s="99"/>
    </row>
    <row r="2" spans="1:4">
      <c r="A2" s="227" t="s">
        <v>101</v>
      </c>
      <c r="B2" s="227"/>
      <c r="C2" s="227" t="s">
        <v>102</v>
      </c>
      <c r="D2" s="227"/>
    </row>
    <row r="3" spans="1:4">
      <c r="A3" s="101" t="s">
        <v>103</v>
      </c>
      <c r="B3" s="101" t="s">
        <v>104</v>
      </c>
      <c r="C3" s="101" t="s">
        <v>103</v>
      </c>
      <c r="D3" s="101" t="s">
        <v>104</v>
      </c>
    </row>
  </sheetData>
  <mergeCells count="2">
    <mergeCell ref="C2:D2"/>
    <mergeCell ref="A2:B2"/>
  </mergeCells>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6AA86-04C7-4450-9792-C2C1B6DD6623}">
  <dimension ref="A1:A15"/>
  <sheetViews>
    <sheetView showGridLines="0" zoomScale="115" zoomScaleNormal="115" workbookViewId="0">
      <selection activeCell="F15" sqref="F15"/>
    </sheetView>
  </sheetViews>
  <sheetFormatPr defaultRowHeight="18.75"/>
  <sheetData>
    <row r="1" spans="1:1">
      <c r="A1" s="40" t="s">
        <v>38</v>
      </c>
    </row>
    <row r="2" spans="1:1">
      <c r="A2" s="35" t="s">
        <v>37</v>
      </c>
    </row>
    <row r="14" spans="1:1">
      <c r="A14" s="40" t="s">
        <v>39</v>
      </c>
    </row>
    <row r="15" spans="1:1">
      <c r="A15" s="35" t="s">
        <v>89</v>
      </c>
    </row>
  </sheetData>
  <phoneticPr fontId="3"/>
  <hyperlinks>
    <hyperlink ref="A2" r:id="rId1" xr:uid="{5EEE2334-08F4-4544-8128-62CA0A45C5AA}"/>
    <hyperlink ref="A15" r:id="rId2" xr:uid="{03795FAD-F7D0-4539-85A2-A9DD2A034EEC}"/>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8E8F5-671E-4FFE-806F-E468E2E208C9}">
  <dimension ref="A1:C5"/>
  <sheetViews>
    <sheetView workbookViewId="0">
      <selection activeCell="C6" sqref="C6"/>
    </sheetView>
  </sheetViews>
  <sheetFormatPr defaultColWidth="8.75" defaultRowHeight="15.75"/>
  <cols>
    <col min="1" max="1" width="4.125" style="100" customWidth="1"/>
    <col min="2" max="2" width="33.25" style="100" bestFit="1" customWidth="1"/>
    <col min="3" max="3" width="64.375" style="100" bestFit="1" customWidth="1"/>
    <col min="4" max="16384" width="8.75" style="100"/>
  </cols>
  <sheetData>
    <row r="1" spans="1:3">
      <c r="A1" s="100" t="s">
        <v>136</v>
      </c>
    </row>
    <row r="2" spans="1:3">
      <c r="A2" s="100" t="s">
        <v>114</v>
      </c>
      <c r="B2" s="100" t="s">
        <v>113</v>
      </c>
      <c r="C2" s="100" t="s">
        <v>116</v>
      </c>
    </row>
    <row r="3" spans="1:3">
      <c r="A3" s="100">
        <v>1</v>
      </c>
      <c r="B3" s="100" t="s">
        <v>110</v>
      </c>
      <c r="C3" s="100" t="s">
        <v>112</v>
      </c>
    </row>
    <row r="4" spans="1:3">
      <c r="A4" s="100">
        <v>2</v>
      </c>
      <c r="B4" s="100" t="s">
        <v>111</v>
      </c>
      <c r="C4" s="100" t="s">
        <v>115</v>
      </c>
    </row>
    <row r="5" spans="1:3">
      <c r="A5" s="100">
        <v>3</v>
      </c>
      <c r="B5" s="100" t="s">
        <v>122</v>
      </c>
      <c r="C5" s="100" t="s">
        <v>137</v>
      </c>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Company/>
  <LinksUpToDate>false</LinksUpToDate>
  <ScaleCrop>false</ScaleCrop>
  <SharedDoc>false</SharedDoc>
  <HyperlinksChanged>false</HyperlinksChanged>
  <AppVersion>16.0000</AppVersion>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Saori Nakatomi</dc:creator>
  <dcterms:modified xsi:type="dcterms:W3CDTF">2026-06-23T03:11:20Z</dcterms:modified>
  <cp:lastModifiedBy>Yuya Ogasawara</cp:lastModifiedBy>
  <dcterms:created xsi:type="dcterms:W3CDTF">2021-06-04T03:47:13Z</dcterms:created>
</cp:coreProperties>
</file>